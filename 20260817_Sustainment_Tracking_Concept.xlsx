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ci.sharepoint.us/sites/EPS-Tech-Mgt/Shared Documents/Task 2 ISP/Strategic Plans and Policies/04-Shared Content/Sustainment Way Ahead Slides/"/>
    </mc:Choice>
  </mc:AlternateContent>
  <xr:revisionPtr revIDLastSave="45" documentId="8_{A99618BD-E9EB-4F63-BD2B-F709F58BE7FB}" xr6:coauthVersionLast="47" xr6:coauthVersionMax="47" xr10:uidLastSave="{E403A372-C507-4F90-95D1-72CC50BA99C3}"/>
  <bookViews>
    <workbookView xWindow="-38520" yWindow="-120" windowWidth="38640" windowHeight="15720" xr2:uid="{88B9EDED-C17D-407F-ADA0-F756FB014071}"/>
  </bookViews>
  <sheets>
    <sheet name="Plan Review Master List" sheetId="9" r:id="rId1"/>
    <sheet name="Reference Master List" sheetId="7" r:id="rId2"/>
  </sheets>
  <definedNames>
    <definedName name="_xlnm._FilterDatabase" localSheetId="0" hidden="1">'Plan Review Master List'!$A$1:$G$436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92" i="9" l="1"/>
  <c r="D192" i="9"/>
  <c r="B192" i="9"/>
  <c r="G190" i="9"/>
  <c r="D190" i="9"/>
  <c r="B190" i="9"/>
  <c r="G188" i="9"/>
  <c r="D188" i="9"/>
  <c r="B188" i="9"/>
  <c r="G186" i="9"/>
  <c r="D186" i="9"/>
  <c r="B186" i="9"/>
  <c r="G435" i="9"/>
  <c r="D435" i="9"/>
  <c r="B435" i="9"/>
  <c r="G434" i="9"/>
  <c r="D434" i="9"/>
  <c r="B434" i="9"/>
  <c r="G433" i="9"/>
  <c r="D433" i="9"/>
  <c r="B433" i="9"/>
  <c r="G432" i="9"/>
  <c r="D432" i="9"/>
  <c r="B432" i="9"/>
  <c r="G431" i="9"/>
  <c r="D431" i="9"/>
  <c r="B431" i="9"/>
  <c r="G429" i="9"/>
  <c r="D429" i="9"/>
  <c r="B429" i="9"/>
  <c r="G428" i="9"/>
  <c r="D428" i="9"/>
  <c r="B428" i="9"/>
  <c r="G427" i="9"/>
  <c r="D427" i="9"/>
  <c r="B427" i="9"/>
  <c r="G426" i="9"/>
  <c r="D426" i="9"/>
  <c r="B426" i="9"/>
  <c r="G425" i="9"/>
  <c r="D425" i="9"/>
  <c r="B425" i="9"/>
  <c r="G424" i="9"/>
  <c r="D424" i="9"/>
  <c r="B424" i="9"/>
  <c r="G423" i="9"/>
  <c r="D423" i="9"/>
  <c r="B423" i="9"/>
  <c r="G422" i="9"/>
  <c r="D422" i="9"/>
  <c r="B422" i="9"/>
  <c r="G421" i="9"/>
  <c r="D421" i="9"/>
  <c r="B421" i="9"/>
  <c r="G420" i="9"/>
  <c r="D420" i="9"/>
  <c r="B420" i="9"/>
  <c r="G419" i="9"/>
  <c r="D419" i="9"/>
  <c r="B419" i="9"/>
  <c r="G418" i="9"/>
  <c r="D418" i="9"/>
  <c r="B418" i="9"/>
  <c r="G417" i="9"/>
  <c r="D417" i="9"/>
  <c r="B417" i="9"/>
  <c r="G416" i="9"/>
  <c r="D416" i="9"/>
  <c r="B416" i="9"/>
  <c r="G415" i="9"/>
  <c r="D415" i="9"/>
  <c r="B415" i="9"/>
  <c r="G414" i="9"/>
  <c r="D414" i="9"/>
  <c r="B414" i="9"/>
  <c r="G413" i="9"/>
  <c r="D413" i="9"/>
  <c r="B413" i="9"/>
  <c r="G412" i="9"/>
  <c r="D412" i="9"/>
  <c r="B412" i="9"/>
  <c r="G411" i="9"/>
  <c r="D411" i="9"/>
  <c r="B411" i="9"/>
  <c r="G410" i="9"/>
  <c r="D410" i="9"/>
  <c r="B410" i="9"/>
  <c r="G409" i="9"/>
  <c r="D409" i="9"/>
  <c r="B409" i="9"/>
  <c r="G408" i="9"/>
  <c r="D408" i="9"/>
  <c r="B408" i="9"/>
  <c r="G407" i="9"/>
  <c r="D407" i="9"/>
  <c r="B407" i="9"/>
  <c r="G406" i="9"/>
  <c r="D406" i="9"/>
  <c r="B406" i="9"/>
  <c r="G405" i="9"/>
  <c r="D405" i="9"/>
  <c r="B405" i="9"/>
  <c r="G404" i="9"/>
  <c r="D404" i="9"/>
  <c r="B404" i="9"/>
  <c r="G403" i="9"/>
  <c r="D403" i="9"/>
  <c r="B403" i="9"/>
  <c r="G402" i="9"/>
  <c r="D402" i="9"/>
  <c r="B402" i="9"/>
  <c r="G401" i="9"/>
  <c r="D401" i="9"/>
  <c r="B401" i="9"/>
  <c r="G400" i="9"/>
  <c r="D400" i="9"/>
  <c r="B400" i="9"/>
  <c r="G399" i="9"/>
  <c r="D399" i="9"/>
  <c r="B399" i="9"/>
  <c r="G398" i="9"/>
  <c r="D398" i="9"/>
  <c r="B398" i="9"/>
  <c r="G397" i="9"/>
  <c r="D397" i="9"/>
  <c r="B397" i="9"/>
  <c r="G396" i="9"/>
  <c r="D396" i="9"/>
  <c r="B396" i="9"/>
  <c r="G395" i="9"/>
  <c r="D395" i="9"/>
  <c r="B395" i="9"/>
  <c r="G394" i="9"/>
  <c r="D394" i="9"/>
  <c r="B394" i="9"/>
  <c r="G393" i="9"/>
  <c r="D393" i="9"/>
  <c r="B393" i="9"/>
  <c r="G392" i="9"/>
  <c r="D392" i="9"/>
  <c r="B392" i="9"/>
  <c r="G391" i="9"/>
  <c r="D391" i="9"/>
  <c r="B391" i="9"/>
  <c r="G390" i="9"/>
  <c r="D390" i="9"/>
  <c r="B390" i="9"/>
  <c r="G389" i="9"/>
  <c r="D389" i="9"/>
  <c r="B389" i="9"/>
  <c r="G388" i="9"/>
  <c r="D388" i="9"/>
  <c r="B388" i="9"/>
  <c r="G387" i="9"/>
  <c r="D387" i="9"/>
  <c r="B387" i="9"/>
  <c r="G386" i="9"/>
  <c r="D386" i="9"/>
  <c r="B386" i="9"/>
  <c r="G385" i="9"/>
  <c r="D385" i="9"/>
  <c r="B385" i="9"/>
  <c r="G384" i="9"/>
  <c r="D384" i="9"/>
  <c r="B384" i="9"/>
  <c r="G383" i="9"/>
  <c r="D383" i="9"/>
  <c r="B383" i="9"/>
  <c r="G382" i="9"/>
  <c r="D382" i="9"/>
  <c r="B382" i="9"/>
  <c r="G381" i="9"/>
  <c r="D381" i="9"/>
  <c r="B381" i="9"/>
  <c r="G380" i="9"/>
  <c r="D380" i="9"/>
  <c r="B380" i="9"/>
  <c r="G379" i="9"/>
  <c r="D379" i="9"/>
  <c r="B379" i="9"/>
  <c r="G378" i="9"/>
  <c r="D378" i="9"/>
  <c r="B378" i="9"/>
  <c r="G377" i="9"/>
  <c r="D377" i="9"/>
  <c r="B377" i="9"/>
  <c r="G376" i="9"/>
  <c r="D376" i="9"/>
  <c r="B376" i="9"/>
  <c r="G375" i="9"/>
  <c r="D375" i="9"/>
  <c r="B375" i="9"/>
  <c r="G374" i="9"/>
  <c r="D374" i="9"/>
  <c r="B374" i="9"/>
  <c r="G373" i="9"/>
  <c r="D373" i="9"/>
  <c r="B373" i="9"/>
  <c r="G372" i="9"/>
  <c r="D372" i="9"/>
  <c r="B372" i="9"/>
  <c r="G371" i="9"/>
  <c r="D371" i="9"/>
  <c r="B371" i="9"/>
  <c r="G370" i="9"/>
  <c r="D370" i="9"/>
  <c r="B370" i="9"/>
  <c r="G369" i="9"/>
  <c r="D369" i="9"/>
  <c r="B369" i="9"/>
  <c r="G368" i="9"/>
  <c r="D368" i="9"/>
  <c r="B368" i="9"/>
  <c r="G367" i="9"/>
  <c r="D367" i="9"/>
  <c r="B367" i="9"/>
  <c r="G366" i="9"/>
  <c r="D366" i="9"/>
  <c r="B366" i="9"/>
  <c r="G365" i="9"/>
  <c r="D365" i="9"/>
  <c r="B365" i="9"/>
  <c r="G364" i="9"/>
  <c r="D364" i="9"/>
  <c r="B364" i="9"/>
  <c r="G363" i="9"/>
  <c r="D363" i="9"/>
  <c r="B363" i="9"/>
  <c r="G362" i="9"/>
  <c r="D362" i="9"/>
  <c r="B362" i="9"/>
  <c r="G361" i="9"/>
  <c r="D361" i="9"/>
  <c r="B361" i="9"/>
  <c r="G360" i="9"/>
  <c r="D360" i="9"/>
  <c r="B360" i="9"/>
  <c r="G359" i="9"/>
  <c r="D359" i="9"/>
  <c r="B359" i="9"/>
  <c r="G358" i="9"/>
  <c r="D358" i="9"/>
  <c r="B358" i="9"/>
  <c r="G357" i="9"/>
  <c r="D357" i="9"/>
  <c r="B357" i="9"/>
  <c r="G356" i="9"/>
  <c r="D356" i="9"/>
  <c r="B356" i="9"/>
  <c r="G355" i="9"/>
  <c r="D355" i="9"/>
  <c r="B355" i="9"/>
  <c r="G354" i="9"/>
  <c r="D354" i="9"/>
  <c r="B354" i="9"/>
  <c r="G353" i="9"/>
  <c r="D353" i="9"/>
  <c r="B353" i="9"/>
  <c r="G352" i="9"/>
  <c r="D352" i="9"/>
  <c r="B352" i="9"/>
  <c r="G351" i="9"/>
  <c r="D351" i="9"/>
  <c r="B351" i="9"/>
  <c r="G350" i="9"/>
  <c r="D350" i="9"/>
  <c r="B350" i="9"/>
  <c r="G349" i="9"/>
  <c r="D349" i="9"/>
  <c r="B349" i="9"/>
  <c r="G348" i="9"/>
  <c r="D348" i="9"/>
  <c r="B348" i="9"/>
  <c r="G347" i="9"/>
  <c r="D347" i="9"/>
  <c r="B347" i="9"/>
  <c r="G346" i="9"/>
  <c r="D346" i="9"/>
  <c r="B346" i="9"/>
  <c r="G345" i="9"/>
  <c r="D345" i="9"/>
  <c r="B345" i="9"/>
  <c r="G344" i="9"/>
  <c r="D344" i="9"/>
  <c r="B344" i="9"/>
  <c r="G343" i="9"/>
  <c r="D343" i="9"/>
  <c r="B343" i="9"/>
  <c r="G342" i="9"/>
  <c r="D342" i="9"/>
  <c r="B342" i="9"/>
  <c r="G341" i="9"/>
  <c r="D341" i="9"/>
  <c r="B341" i="9"/>
  <c r="G340" i="9"/>
  <c r="D340" i="9"/>
  <c r="B340" i="9"/>
  <c r="G339" i="9"/>
  <c r="D339" i="9"/>
  <c r="B339" i="9"/>
  <c r="G338" i="9"/>
  <c r="D338" i="9"/>
  <c r="B338" i="9"/>
  <c r="G337" i="9"/>
  <c r="D337" i="9"/>
  <c r="B337" i="9"/>
  <c r="G336" i="9"/>
  <c r="D336" i="9"/>
  <c r="B336" i="9"/>
  <c r="G335" i="9"/>
  <c r="D335" i="9"/>
  <c r="B335" i="9"/>
  <c r="G334" i="9"/>
  <c r="D334" i="9"/>
  <c r="B334" i="9"/>
  <c r="G333" i="9"/>
  <c r="D333" i="9"/>
  <c r="B333" i="9"/>
  <c r="G332" i="9"/>
  <c r="D332" i="9"/>
  <c r="B332" i="9"/>
  <c r="G331" i="9"/>
  <c r="D331" i="9"/>
  <c r="B331" i="9"/>
  <c r="G330" i="9"/>
  <c r="D330" i="9"/>
  <c r="B330" i="9"/>
  <c r="G329" i="9"/>
  <c r="D329" i="9"/>
  <c r="B329" i="9"/>
  <c r="G328" i="9"/>
  <c r="D328" i="9"/>
  <c r="B328" i="9"/>
  <c r="G327" i="9"/>
  <c r="D327" i="9"/>
  <c r="B327" i="9"/>
  <c r="G326" i="9"/>
  <c r="D326" i="9"/>
  <c r="B326" i="9"/>
  <c r="G325" i="9"/>
  <c r="D325" i="9"/>
  <c r="B325" i="9"/>
  <c r="G324" i="9"/>
  <c r="D324" i="9"/>
  <c r="B324" i="9"/>
  <c r="G323" i="9"/>
  <c r="D323" i="9"/>
  <c r="B323" i="9"/>
  <c r="G322" i="9"/>
  <c r="D322" i="9"/>
  <c r="B322" i="9"/>
  <c r="G321" i="9"/>
  <c r="D321" i="9"/>
  <c r="B321" i="9"/>
  <c r="G320" i="9"/>
  <c r="D320" i="9"/>
  <c r="B320" i="9"/>
  <c r="G319" i="9"/>
  <c r="D319" i="9"/>
  <c r="B319" i="9"/>
  <c r="G318" i="9"/>
  <c r="D318" i="9"/>
  <c r="B318" i="9"/>
  <c r="G317" i="9"/>
  <c r="D317" i="9"/>
  <c r="B317" i="9"/>
  <c r="G316" i="9"/>
  <c r="D316" i="9"/>
  <c r="B316" i="9"/>
  <c r="G315" i="9"/>
  <c r="D315" i="9"/>
  <c r="B315" i="9"/>
  <c r="G314" i="9"/>
  <c r="D314" i="9"/>
  <c r="B314" i="9"/>
  <c r="G313" i="9"/>
  <c r="D313" i="9"/>
  <c r="B313" i="9"/>
  <c r="G312" i="9"/>
  <c r="D312" i="9"/>
  <c r="B312" i="9"/>
  <c r="G311" i="9"/>
  <c r="D311" i="9"/>
  <c r="B311" i="9"/>
  <c r="G310" i="9"/>
  <c r="D310" i="9"/>
  <c r="B310" i="9"/>
  <c r="G309" i="9"/>
  <c r="D309" i="9"/>
  <c r="B309" i="9"/>
  <c r="G308" i="9"/>
  <c r="D308" i="9"/>
  <c r="B308" i="9"/>
  <c r="G307" i="9"/>
  <c r="D307" i="9"/>
  <c r="B307" i="9"/>
  <c r="G306" i="9"/>
  <c r="D306" i="9"/>
  <c r="B306" i="9"/>
  <c r="G305" i="9"/>
  <c r="D305" i="9"/>
  <c r="B305" i="9"/>
  <c r="G304" i="9"/>
  <c r="D304" i="9"/>
  <c r="B304" i="9"/>
  <c r="G303" i="9"/>
  <c r="D303" i="9"/>
  <c r="B303" i="9"/>
  <c r="G302" i="9"/>
  <c r="D302" i="9"/>
  <c r="B302" i="9"/>
  <c r="G301" i="9"/>
  <c r="D301" i="9"/>
  <c r="B301" i="9"/>
  <c r="G300" i="9"/>
  <c r="D300" i="9"/>
  <c r="B300" i="9"/>
  <c r="G299" i="9"/>
  <c r="D299" i="9"/>
  <c r="B299" i="9"/>
  <c r="G298" i="9"/>
  <c r="D298" i="9"/>
  <c r="B298" i="9"/>
  <c r="G297" i="9"/>
  <c r="D297" i="9"/>
  <c r="B297" i="9"/>
  <c r="G296" i="9"/>
  <c r="D296" i="9"/>
  <c r="B296" i="9"/>
  <c r="G295" i="9"/>
  <c r="D295" i="9"/>
  <c r="B295" i="9"/>
  <c r="G294" i="9"/>
  <c r="D294" i="9"/>
  <c r="B294" i="9"/>
  <c r="G293" i="9"/>
  <c r="D293" i="9"/>
  <c r="B293" i="9"/>
  <c r="G292" i="9"/>
  <c r="D292" i="9"/>
  <c r="B292" i="9"/>
  <c r="G291" i="9"/>
  <c r="D291" i="9"/>
  <c r="B291" i="9"/>
  <c r="G290" i="9"/>
  <c r="D290" i="9"/>
  <c r="B290" i="9"/>
  <c r="G289" i="9"/>
  <c r="D289" i="9"/>
  <c r="B289" i="9"/>
  <c r="G288" i="9"/>
  <c r="D288" i="9"/>
  <c r="B288" i="9"/>
  <c r="G287" i="9"/>
  <c r="D287" i="9"/>
  <c r="B287" i="9"/>
  <c r="G286" i="9"/>
  <c r="D286" i="9"/>
  <c r="B286" i="9"/>
  <c r="G285" i="9"/>
  <c r="D285" i="9"/>
  <c r="B285" i="9"/>
  <c r="G284" i="9"/>
  <c r="D284" i="9"/>
  <c r="B284" i="9"/>
  <c r="G283" i="9"/>
  <c r="D283" i="9"/>
  <c r="B283" i="9"/>
  <c r="G282" i="9"/>
  <c r="D282" i="9"/>
  <c r="B282" i="9"/>
  <c r="G281" i="9"/>
  <c r="D281" i="9"/>
  <c r="B281" i="9"/>
  <c r="G280" i="9"/>
  <c r="D280" i="9"/>
  <c r="B280" i="9"/>
  <c r="G279" i="9"/>
  <c r="D279" i="9"/>
  <c r="B279" i="9"/>
  <c r="G278" i="9"/>
  <c r="D278" i="9"/>
  <c r="B278" i="9"/>
  <c r="G277" i="9"/>
  <c r="D277" i="9"/>
  <c r="B277" i="9"/>
  <c r="G276" i="9"/>
  <c r="D276" i="9"/>
  <c r="B276" i="9"/>
  <c r="G275" i="9"/>
  <c r="D275" i="9"/>
  <c r="B275" i="9"/>
  <c r="G274" i="9"/>
  <c r="D274" i="9"/>
  <c r="B274" i="9"/>
  <c r="G273" i="9"/>
  <c r="D273" i="9"/>
  <c r="B273" i="9"/>
  <c r="G272" i="9"/>
  <c r="D272" i="9"/>
  <c r="B272" i="9"/>
  <c r="G271" i="9"/>
  <c r="D271" i="9"/>
  <c r="B271" i="9"/>
  <c r="G270" i="9"/>
  <c r="D270" i="9"/>
  <c r="B270" i="9"/>
  <c r="G269" i="9"/>
  <c r="D269" i="9"/>
  <c r="B269" i="9"/>
  <c r="G268" i="9"/>
  <c r="D268" i="9"/>
  <c r="B268" i="9"/>
  <c r="G267" i="9"/>
  <c r="D267" i="9"/>
  <c r="B267" i="9"/>
  <c r="G266" i="9"/>
  <c r="D266" i="9"/>
  <c r="B266" i="9"/>
  <c r="G265" i="9"/>
  <c r="D265" i="9"/>
  <c r="B265" i="9"/>
  <c r="G264" i="9"/>
  <c r="D264" i="9"/>
  <c r="B264" i="9"/>
  <c r="G263" i="9"/>
  <c r="D263" i="9"/>
  <c r="B263" i="9"/>
  <c r="G262" i="9"/>
  <c r="D262" i="9"/>
  <c r="B262" i="9"/>
  <c r="G261" i="9"/>
  <c r="D261" i="9"/>
  <c r="B261" i="9"/>
  <c r="G260" i="9"/>
  <c r="D260" i="9"/>
  <c r="B260" i="9"/>
  <c r="G259" i="9"/>
  <c r="D259" i="9"/>
  <c r="B259" i="9"/>
  <c r="G258" i="9"/>
  <c r="D258" i="9"/>
  <c r="B258" i="9"/>
  <c r="G257" i="9"/>
  <c r="D257" i="9"/>
  <c r="B257" i="9"/>
  <c r="G256" i="9"/>
  <c r="D256" i="9"/>
  <c r="B256" i="9"/>
  <c r="G255" i="9"/>
  <c r="D255" i="9"/>
  <c r="B255" i="9"/>
  <c r="G254" i="9"/>
  <c r="D254" i="9"/>
  <c r="B254" i="9"/>
  <c r="G253" i="9"/>
  <c r="D253" i="9"/>
  <c r="B253" i="9"/>
  <c r="G252" i="9"/>
  <c r="D252" i="9"/>
  <c r="B252" i="9"/>
  <c r="G251" i="9"/>
  <c r="D251" i="9"/>
  <c r="B251" i="9"/>
  <c r="G250" i="9"/>
  <c r="D250" i="9"/>
  <c r="B250" i="9"/>
  <c r="G249" i="9"/>
  <c r="D249" i="9"/>
  <c r="B249" i="9"/>
  <c r="G248" i="9"/>
  <c r="D248" i="9"/>
  <c r="B248" i="9"/>
  <c r="G247" i="9"/>
  <c r="D247" i="9"/>
  <c r="B247" i="9"/>
  <c r="G246" i="9"/>
  <c r="D246" i="9"/>
  <c r="B246" i="9"/>
  <c r="G245" i="9"/>
  <c r="D245" i="9"/>
  <c r="B245" i="9"/>
  <c r="G244" i="9"/>
  <c r="D244" i="9"/>
  <c r="B244" i="9"/>
  <c r="G243" i="9"/>
  <c r="D243" i="9"/>
  <c r="B243" i="9"/>
  <c r="G242" i="9"/>
  <c r="D242" i="9"/>
  <c r="B242" i="9"/>
  <c r="G241" i="9"/>
  <c r="D241" i="9"/>
  <c r="B241" i="9"/>
  <c r="G240" i="9"/>
  <c r="D240" i="9"/>
  <c r="B240" i="9"/>
  <c r="G239" i="9"/>
  <c r="D239" i="9"/>
  <c r="B239" i="9"/>
  <c r="G238" i="9"/>
  <c r="D238" i="9"/>
  <c r="B238" i="9"/>
  <c r="G237" i="9"/>
  <c r="D237" i="9"/>
  <c r="B237" i="9"/>
  <c r="G236" i="9"/>
  <c r="D236" i="9"/>
  <c r="B236" i="9"/>
  <c r="G235" i="9"/>
  <c r="D235" i="9"/>
  <c r="B235" i="9"/>
  <c r="G234" i="9"/>
  <c r="D234" i="9"/>
  <c r="B234" i="9"/>
  <c r="G233" i="9"/>
  <c r="D233" i="9"/>
  <c r="B233" i="9"/>
  <c r="G232" i="9"/>
  <c r="D232" i="9"/>
  <c r="B232" i="9"/>
  <c r="G231" i="9"/>
  <c r="D231" i="9"/>
  <c r="B231" i="9"/>
  <c r="G230" i="9"/>
  <c r="D230" i="9"/>
  <c r="B230" i="9"/>
  <c r="G229" i="9"/>
  <c r="D229" i="9"/>
  <c r="B229" i="9"/>
  <c r="G228" i="9"/>
  <c r="D228" i="9"/>
  <c r="B228" i="9"/>
  <c r="G227" i="9"/>
  <c r="D227" i="9"/>
  <c r="B227" i="9"/>
  <c r="G226" i="9"/>
  <c r="D226" i="9"/>
  <c r="B226" i="9"/>
  <c r="G225" i="9"/>
  <c r="D225" i="9"/>
  <c r="B225" i="9"/>
  <c r="G224" i="9"/>
  <c r="D224" i="9"/>
  <c r="B224" i="9"/>
  <c r="G223" i="9"/>
  <c r="D223" i="9"/>
  <c r="B223" i="9"/>
  <c r="G222" i="9"/>
  <c r="D222" i="9"/>
  <c r="B222" i="9"/>
  <c r="G221" i="9"/>
  <c r="D221" i="9"/>
  <c r="B221" i="9"/>
  <c r="G220" i="9"/>
  <c r="D220" i="9"/>
  <c r="B220" i="9"/>
  <c r="G219" i="9"/>
  <c r="D219" i="9"/>
  <c r="B219" i="9"/>
  <c r="G218" i="9"/>
  <c r="D218" i="9"/>
  <c r="B218" i="9"/>
  <c r="G217" i="9"/>
  <c r="D217" i="9"/>
  <c r="B217" i="9"/>
  <c r="G216" i="9"/>
  <c r="D216" i="9"/>
  <c r="B216" i="9"/>
  <c r="G215" i="9"/>
  <c r="D215" i="9"/>
  <c r="B215" i="9"/>
  <c r="G214" i="9"/>
  <c r="D214" i="9"/>
  <c r="B214" i="9"/>
  <c r="G213" i="9"/>
  <c r="D213" i="9"/>
  <c r="B213" i="9"/>
  <c r="G212" i="9"/>
  <c r="D212" i="9"/>
  <c r="B212" i="9"/>
  <c r="G211" i="9"/>
  <c r="D211" i="9"/>
  <c r="B211" i="9"/>
  <c r="G210" i="9"/>
  <c r="D210" i="9"/>
  <c r="B210" i="9"/>
  <c r="G209" i="9"/>
  <c r="D209" i="9"/>
  <c r="B209" i="9"/>
  <c r="G208" i="9"/>
  <c r="D208" i="9"/>
  <c r="B208" i="9"/>
  <c r="G207" i="9"/>
  <c r="D207" i="9"/>
  <c r="B207" i="9"/>
  <c r="G206" i="9"/>
  <c r="D206" i="9"/>
  <c r="B206" i="9"/>
  <c r="G205" i="9"/>
  <c r="D205" i="9"/>
  <c r="B205" i="9"/>
  <c r="G204" i="9"/>
  <c r="D204" i="9"/>
  <c r="B204" i="9"/>
  <c r="G203" i="9"/>
  <c r="D203" i="9"/>
  <c r="B203" i="9"/>
  <c r="G202" i="9"/>
  <c r="D202" i="9"/>
  <c r="B202" i="9"/>
  <c r="G201" i="9"/>
  <c r="D201" i="9"/>
  <c r="B201" i="9"/>
  <c r="G200" i="9"/>
  <c r="D200" i="9"/>
  <c r="B200" i="9"/>
  <c r="G199" i="9"/>
  <c r="D199" i="9"/>
  <c r="B199" i="9"/>
  <c r="G198" i="9"/>
  <c r="D198" i="9"/>
  <c r="B198" i="9"/>
  <c r="G197" i="9"/>
  <c r="D197" i="9"/>
  <c r="B197" i="9"/>
  <c r="G196" i="9"/>
  <c r="D196" i="9"/>
  <c r="B196" i="9"/>
  <c r="G195" i="9"/>
  <c r="D195" i="9"/>
  <c r="B195" i="9"/>
  <c r="G194" i="9"/>
  <c r="D194" i="9"/>
  <c r="B194" i="9"/>
  <c r="G193" i="9"/>
  <c r="D193" i="9"/>
  <c r="B193" i="9"/>
  <c r="G191" i="9"/>
  <c r="D191" i="9"/>
  <c r="B191" i="9"/>
  <c r="G189" i="9"/>
  <c r="D189" i="9"/>
  <c r="B189" i="9"/>
  <c r="G187" i="9"/>
  <c r="D187" i="9"/>
  <c r="B187" i="9"/>
  <c r="G185" i="9"/>
  <c r="D185" i="9"/>
  <c r="B185" i="9"/>
  <c r="G184" i="9"/>
  <c r="D184" i="9"/>
  <c r="B184" i="9"/>
  <c r="G183" i="9"/>
  <c r="D183" i="9"/>
  <c r="B183" i="9"/>
  <c r="G182" i="9"/>
  <c r="D182" i="9"/>
  <c r="B182" i="9"/>
  <c r="G181" i="9"/>
  <c r="D181" i="9"/>
  <c r="B181" i="9"/>
  <c r="G180" i="9"/>
  <c r="D180" i="9"/>
  <c r="B180" i="9"/>
  <c r="G179" i="9"/>
  <c r="D179" i="9"/>
  <c r="B179" i="9"/>
  <c r="G178" i="9"/>
  <c r="D178" i="9"/>
  <c r="B178" i="9"/>
  <c r="G177" i="9"/>
  <c r="D177" i="9"/>
  <c r="B177" i="9"/>
  <c r="G176" i="9"/>
  <c r="D176" i="9"/>
  <c r="B176" i="9"/>
  <c r="G175" i="9"/>
  <c r="D175" i="9"/>
  <c r="B175" i="9"/>
  <c r="G174" i="9"/>
  <c r="D174" i="9"/>
  <c r="B174" i="9"/>
  <c r="G173" i="9"/>
  <c r="D173" i="9"/>
  <c r="B173" i="9"/>
  <c r="G172" i="9"/>
  <c r="D172" i="9"/>
  <c r="B172" i="9"/>
  <c r="G171" i="9"/>
  <c r="D171" i="9"/>
  <c r="B171" i="9"/>
  <c r="G170" i="9"/>
  <c r="D170" i="9"/>
  <c r="B170" i="9"/>
  <c r="G169" i="9"/>
  <c r="D169" i="9"/>
  <c r="B169" i="9"/>
  <c r="G168" i="9"/>
  <c r="D168" i="9"/>
  <c r="B168" i="9"/>
  <c r="G167" i="9"/>
  <c r="D167" i="9"/>
  <c r="B167" i="9"/>
  <c r="G166" i="9"/>
  <c r="D166" i="9"/>
  <c r="B166" i="9"/>
  <c r="G165" i="9"/>
  <c r="D165" i="9"/>
  <c r="B165" i="9"/>
  <c r="G164" i="9"/>
  <c r="D164" i="9"/>
  <c r="B164" i="9"/>
  <c r="G163" i="9"/>
  <c r="D163" i="9"/>
  <c r="B163" i="9"/>
  <c r="G162" i="9"/>
  <c r="D162" i="9"/>
  <c r="B162" i="9"/>
  <c r="G161" i="9"/>
  <c r="D161" i="9"/>
  <c r="B161" i="9"/>
  <c r="G160" i="9"/>
  <c r="D160" i="9"/>
  <c r="B160" i="9"/>
  <c r="G159" i="9"/>
  <c r="D159" i="9"/>
  <c r="B159" i="9"/>
  <c r="G158" i="9"/>
  <c r="D158" i="9"/>
  <c r="B158" i="9"/>
  <c r="G157" i="9"/>
  <c r="D157" i="9"/>
  <c r="B157" i="9"/>
  <c r="G156" i="9"/>
  <c r="D156" i="9"/>
  <c r="B156" i="9"/>
  <c r="G155" i="9"/>
  <c r="D155" i="9"/>
  <c r="B155" i="9"/>
  <c r="G154" i="9"/>
  <c r="D154" i="9"/>
  <c r="B154" i="9"/>
  <c r="G153" i="9"/>
  <c r="D153" i="9"/>
  <c r="B153" i="9"/>
  <c r="G152" i="9"/>
  <c r="D152" i="9"/>
  <c r="B152" i="9"/>
  <c r="G151" i="9"/>
  <c r="D151" i="9"/>
  <c r="B151" i="9"/>
  <c r="G150" i="9"/>
  <c r="D150" i="9"/>
  <c r="B150" i="9"/>
  <c r="G149" i="9"/>
  <c r="D149" i="9"/>
  <c r="B149" i="9"/>
  <c r="G148" i="9"/>
  <c r="D148" i="9"/>
  <c r="B148" i="9"/>
  <c r="G147" i="9"/>
  <c r="D147" i="9"/>
  <c r="B147" i="9"/>
  <c r="G146" i="9"/>
  <c r="D146" i="9"/>
  <c r="B146" i="9"/>
  <c r="G145" i="9"/>
  <c r="D145" i="9"/>
  <c r="B145" i="9"/>
  <c r="G144" i="9"/>
  <c r="D144" i="9"/>
  <c r="B144" i="9"/>
  <c r="G143" i="9"/>
  <c r="D143" i="9"/>
  <c r="B143" i="9"/>
  <c r="G142" i="9"/>
  <c r="D142" i="9"/>
  <c r="B142" i="9"/>
  <c r="G141" i="9"/>
  <c r="D141" i="9"/>
  <c r="B141" i="9"/>
  <c r="G140" i="9"/>
  <c r="D140" i="9"/>
  <c r="B140" i="9"/>
  <c r="G139" i="9"/>
  <c r="D139" i="9"/>
  <c r="B139" i="9"/>
  <c r="G138" i="9"/>
  <c r="D138" i="9"/>
  <c r="B138" i="9"/>
  <c r="G137" i="9"/>
  <c r="D137" i="9"/>
  <c r="B137" i="9"/>
  <c r="G136" i="9"/>
  <c r="D136" i="9"/>
  <c r="B136" i="9"/>
  <c r="G135" i="9"/>
  <c r="D135" i="9"/>
  <c r="B135" i="9"/>
  <c r="G134" i="9"/>
  <c r="D134" i="9"/>
  <c r="B134" i="9"/>
  <c r="G133" i="9"/>
  <c r="D133" i="9"/>
  <c r="B133" i="9"/>
  <c r="G132" i="9"/>
  <c r="D132" i="9"/>
  <c r="B132" i="9"/>
  <c r="G131" i="9"/>
  <c r="D131" i="9"/>
  <c r="B131" i="9"/>
  <c r="G130" i="9"/>
  <c r="D130" i="9"/>
  <c r="B130" i="9"/>
  <c r="G129" i="9"/>
  <c r="D129" i="9"/>
  <c r="B129" i="9"/>
  <c r="G128" i="9"/>
  <c r="D128" i="9"/>
  <c r="B128" i="9"/>
  <c r="G127" i="9"/>
  <c r="D127" i="9"/>
  <c r="B127" i="9"/>
  <c r="G126" i="9"/>
  <c r="D126" i="9"/>
  <c r="B126" i="9"/>
  <c r="G125" i="9"/>
  <c r="D125" i="9"/>
  <c r="B125" i="9"/>
  <c r="G124" i="9"/>
  <c r="D124" i="9"/>
  <c r="B124" i="9"/>
  <c r="G123" i="9"/>
  <c r="D123" i="9"/>
  <c r="B123" i="9"/>
  <c r="G122" i="9"/>
  <c r="D122" i="9"/>
  <c r="B122" i="9"/>
  <c r="G121" i="9"/>
  <c r="D121" i="9"/>
  <c r="B121" i="9"/>
  <c r="G120" i="9"/>
  <c r="D120" i="9"/>
  <c r="B120" i="9"/>
  <c r="G119" i="9"/>
  <c r="D119" i="9"/>
  <c r="B119" i="9"/>
  <c r="G118" i="9"/>
  <c r="D118" i="9"/>
  <c r="B118" i="9"/>
  <c r="G117" i="9"/>
  <c r="D117" i="9"/>
  <c r="B117" i="9"/>
  <c r="G116" i="9"/>
  <c r="D116" i="9"/>
  <c r="B116" i="9"/>
  <c r="G115" i="9"/>
  <c r="D115" i="9"/>
  <c r="B115" i="9"/>
  <c r="G114" i="9"/>
  <c r="D114" i="9"/>
  <c r="B114" i="9"/>
  <c r="G113" i="9"/>
  <c r="D113" i="9"/>
  <c r="B113" i="9"/>
  <c r="G112" i="9"/>
  <c r="D112" i="9"/>
  <c r="B112" i="9"/>
  <c r="G111" i="9"/>
  <c r="D111" i="9"/>
  <c r="B111" i="9"/>
  <c r="G110" i="9"/>
  <c r="D110" i="9"/>
  <c r="B110" i="9"/>
  <c r="G109" i="9"/>
  <c r="D109" i="9"/>
  <c r="B109" i="9"/>
  <c r="G108" i="9"/>
  <c r="D108" i="9"/>
  <c r="B108" i="9"/>
  <c r="G107" i="9"/>
  <c r="D107" i="9"/>
  <c r="B107" i="9"/>
  <c r="G106" i="9"/>
  <c r="D106" i="9"/>
  <c r="B106" i="9"/>
  <c r="G105" i="9"/>
  <c r="D105" i="9"/>
  <c r="B105" i="9"/>
  <c r="G104" i="9"/>
  <c r="D104" i="9"/>
  <c r="B104" i="9"/>
  <c r="G103" i="9"/>
  <c r="D103" i="9"/>
  <c r="B103" i="9"/>
  <c r="G102" i="9"/>
  <c r="D102" i="9"/>
  <c r="B102" i="9"/>
  <c r="G101" i="9"/>
  <c r="D101" i="9"/>
  <c r="B101" i="9"/>
  <c r="G100" i="9"/>
  <c r="D100" i="9"/>
  <c r="B100" i="9"/>
  <c r="G99" i="9"/>
  <c r="D99" i="9"/>
  <c r="B99" i="9"/>
  <c r="G98" i="9"/>
  <c r="D98" i="9"/>
  <c r="B98" i="9"/>
  <c r="G97" i="9"/>
  <c r="D97" i="9"/>
  <c r="B97" i="9"/>
  <c r="G96" i="9"/>
  <c r="D96" i="9"/>
  <c r="B96" i="9"/>
  <c r="G95" i="9"/>
  <c r="D95" i="9"/>
  <c r="B95" i="9"/>
  <c r="G94" i="9"/>
  <c r="D94" i="9"/>
  <c r="B94" i="9"/>
  <c r="G93" i="9"/>
  <c r="D93" i="9"/>
  <c r="B93" i="9"/>
  <c r="G92" i="9"/>
  <c r="D92" i="9"/>
  <c r="B92" i="9"/>
  <c r="G91" i="9"/>
  <c r="D91" i="9"/>
  <c r="B91" i="9"/>
  <c r="G90" i="9"/>
  <c r="D90" i="9"/>
  <c r="B90" i="9"/>
  <c r="G89" i="9"/>
  <c r="D89" i="9"/>
  <c r="B89" i="9"/>
  <c r="G88" i="9"/>
  <c r="D88" i="9"/>
  <c r="B88" i="9"/>
  <c r="G87" i="9"/>
  <c r="D87" i="9"/>
  <c r="B87" i="9"/>
  <c r="G86" i="9"/>
  <c r="D86" i="9"/>
  <c r="B86" i="9"/>
  <c r="G85" i="9"/>
  <c r="D85" i="9"/>
  <c r="B85" i="9"/>
  <c r="G84" i="9"/>
  <c r="D84" i="9"/>
  <c r="B84" i="9"/>
  <c r="G83" i="9"/>
  <c r="D83" i="9"/>
  <c r="B83" i="9"/>
  <c r="G82" i="9"/>
  <c r="D82" i="9"/>
  <c r="B82" i="9"/>
  <c r="G81" i="9"/>
  <c r="D81" i="9"/>
  <c r="B81" i="9"/>
  <c r="G80" i="9"/>
  <c r="D80" i="9"/>
  <c r="B80" i="9"/>
  <c r="G79" i="9"/>
  <c r="D79" i="9"/>
  <c r="B79" i="9"/>
  <c r="G78" i="9"/>
  <c r="D78" i="9"/>
  <c r="B78" i="9"/>
  <c r="G77" i="9"/>
  <c r="D77" i="9"/>
  <c r="B77" i="9"/>
  <c r="G76" i="9"/>
  <c r="D76" i="9"/>
  <c r="B76" i="9"/>
  <c r="G75" i="9"/>
  <c r="D75" i="9"/>
  <c r="B75" i="9"/>
  <c r="G74" i="9"/>
  <c r="D74" i="9"/>
  <c r="B74" i="9"/>
  <c r="G73" i="9"/>
  <c r="D73" i="9"/>
  <c r="B73" i="9"/>
  <c r="G72" i="9"/>
  <c r="D72" i="9"/>
  <c r="B72" i="9"/>
  <c r="G71" i="9"/>
  <c r="D71" i="9"/>
  <c r="B71" i="9"/>
  <c r="G70" i="9"/>
  <c r="D70" i="9"/>
  <c r="B70" i="9"/>
  <c r="G69" i="9"/>
  <c r="D69" i="9"/>
  <c r="B69" i="9"/>
  <c r="G68" i="9"/>
  <c r="D68" i="9"/>
  <c r="B68" i="9"/>
  <c r="G67" i="9"/>
  <c r="D67" i="9"/>
  <c r="B67" i="9"/>
  <c r="G66" i="9"/>
  <c r="D66" i="9"/>
  <c r="B66" i="9"/>
  <c r="G65" i="9"/>
  <c r="D65" i="9"/>
  <c r="B65" i="9"/>
  <c r="G64" i="9"/>
  <c r="D64" i="9"/>
  <c r="B64" i="9"/>
  <c r="G63" i="9"/>
  <c r="D63" i="9"/>
  <c r="B63" i="9"/>
  <c r="G62" i="9"/>
  <c r="D62" i="9"/>
  <c r="B62" i="9"/>
  <c r="G61" i="9"/>
  <c r="D61" i="9"/>
  <c r="B61" i="9"/>
  <c r="G60" i="9"/>
  <c r="D60" i="9"/>
  <c r="B60" i="9"/>
  <c r="G59" i="9"/>
  <c r="D59" i="9"/>
  <c r="B59" i="9"/>
  <c r="G58" i="9"/>
  <c r="D58" i="9"/>
  <c r="B58" i="9"/>
  <c r="G57" i="9"/>
  <c r="D57" i="9"/>
  <c r="B57" i="9"/>
  <c r="G56" i="9"/>
  <c r="D56" i="9"/>
  <c r="B56" i="9"/>
  <c r="G55" i="9"/>
  <c r="D55" i="9"/>
  <c r="B55" i="9"/>
  <c r="G54" i="9"/>
  <c r="D54" i="9"/>
  <c r="B54" i="9"/>
  <c r="G53" i="9"/>
  <c r="D53" i="9"/>
  <c r="B53" i="9"/>
  <c r="G52" i="9"/>
  <c r="D52" i="9"/>
  <c r="B52" i="9"/>
  <c r="G51" i="9"/>
  <c r="D51" i="9"/>
  <c r="B51" i="9"/>
  <c r="G50" i="9"/>
  <c r="D50" i="9"/>
  <c r="B50" i="9"/>
  <c r="G49" i="9"/>
  <c r="D49" i="9"/>
  <c r="B49" i="9"/>
  <c r="G48" i="9"/>
  <c r="D48" i="9"/>
  <c r="B48" i="9"/>
  <c r="G47" i="9"/>
  <c r="D47" i="9"/>
  <c r="B47" i="9"/>
  <c r="G46" i="9"/>
  <c r="D46" i="9"/>
  <c r="B46" i="9"/>
  <c r="G45" i="9"/>
  <c r="D45" i="9"/>
  <c r="B45" i="9"/>
  <c r="G44" i="9"/>
  <c r="D44" i="9"/>
  <c r="B44" i="9"/>
  <c r="G43" i="9"/>
  <c r="D43" i="9"/>
  <c r="B43" i="9"/>
  <c r="G42" i="9"/>
  <c r="D42" i="9"/>
  <c r="B42" i="9"/>
  <c r="G41" i="9"/>
  <c r="D41" i="9"/>
  <c r="B41" i="9"/>
  <c r="G40" i="9"/>
  <c r="D40" i="9"/>
  <c r="B40" i="9"/>
  <c r="G39" i="9"/>
  <c r="D39" i="9"/>
  <c r="B39" i="9"/>
  <c r="G38" i="9"/>
  <c r="D38" i="9"/>
  <c r="B38" i="9"/>
  <c r="G37" i="9"/>
  <c r="D37" i="9"/>
  <c r="B37" i="9"/>
  <c r="G36" i="9"/>
  <c r="D36" i="9"/>
  <c r="B36" i="9"/>
  <c r="G35" i="9"/>
  <c r="D35" i="9"/>
  <c r="B35" i="9"/>
  <c r="G34" i="9"/>
  <c r="D34" i="9"/>
  <c r="B34" i="9"/>
  <c r="G33" i="9"/>
  <c r="D33" i="9"/>
  <c r="B33" i="9"/>
  <c r="G32" i="9"/>
  <c r="D32" i="9"/>
  <c r="B32" i="9"/>
  <c r="G31" i="9"/>
  <c r="D31" i="9"/>
  <c r="B31" i="9"/>
  <c r="G30" i="9"/>
  <c r="D30" i="9"/>
  <c r="B30" i="9"/>
  <c r="G29" i="9"/>
  <c r="D29" i="9"/>
  <c r="B29" i="9"/>
  <c r="G28" i="9"/>
  <c r="D28" i="9"/>
  <c r="B28" i="9"/>
  <c r="G27" i="9"/>
  <c r="D27" i="9"/>
  <c r="B27" i="9"/>
  <c r="G26" i="9"/>
  <c r="D26" i="9"/>
  <c r="B26" i="9"/>
  <c r="G25" i="9"/>
  <c r="D25" i="9"/>
  <c r="B25" i="9"/>
  <c r="G24" i="9"/>
  <c r="D24" i="9"/>
  <c r="B24" i="9"/>
  <c r="G23" i="9"/>
  <c r="D23" i="9"/>
  <c r="B23" i="9"/>
  <c r="G22" i="9"/>
  <c r="D22" i="9"/>
  <c r="B22" i="9"/>
  <c r="G21" i="9"/>
  <c r="D21" i="9"/>
  <c r="B21" i="9"/>
  <c r="G20" i="9"/>
  <c r="D20" i="9"/>
  <c r="B20" i="9"/>
  <c r="G19" i="9"/>
  <c r="D19" i="9"/>
  <c r="B19" i="9"/>
  <c r="G18" i="9"/>
  <c r="D18" i="9"/>
  <c r="B18" i="9"/>
  <c r="G17" i="9"/>
  <c r="D17" i="9"/>
  <c r="B17" i="9"/>
  <c r="G16" i="9"/>
  <c r="D16" i="9"/>
  <c r="B16" i="9"/>
  <c r="G15" i="9"/>
  <c r="D15" i="9"/>
  <c r="B15" i="9"/>
  <c r="G14" i="9"/>
  <c r="D14" i="9"/>
  <c r="B14" i="9"/>
  <c r="G13" i="9"/>
  <c r="D13" i="9"/>
  <c r="B13" i="9"/>
  <c r="G12" i="9"/>
  <c r="D12" i="9"/>
  <c r="B12" i="9"/>
  <c r="G11" i="9"/>
  <c r="D11" i="9"/>
  <c r="B11" i="9"/>
  <c r="G10" i="9"/>
  <c r="D10" i="9"/>
  <c r="B10" i="9"/>
  <c r="G9" i="9"/>
  <c r="D9" i="9"/>
  <c r="B9" i="9"/>
  <c r="G8" i="9"/>
  <c r="D8" i="9"/>
  <c r="B8" i="9"/>
  <c r="G7" i="9"/>
  <c r="D7" i="9"/>
  <c r="B7" i="9"/>
  <c r="G6" i="9"/>
  <c r="D6" i="9"/>
  <c r="B6" i="9"/>
  <c r="G5" i="9"/>
  <c r="D5" i="9"/>
  <c r="B5" i="9"/>
  <c r="G4" i="9"/>
  <c r="D4" i="9"/>
  <c r="B4" i="9"/>
  <c r="G3" i="9"/>
  <c r="D3" i="9"/>
  <c r="B3" i="9"/>
  <c r="G2" i="9"/>
  <c r="D2" i="9"/>
  <c r="B2" i="9"/>
</calcChain>
</file>

<file path=xl/sharedStrings.xml><?xml version="1.0" encoding="utf-8"?>
<sst xmlns="http://schemas.openxmlformats.org/spreadsheetml/2006/main" count="1587" uniqueCount="411">
  <si>
    <t>DODI 5000.91</t>
  </si>
  <si>
    <t>DODI 5000.80</t>
  </si>
  <si>
    <t>DODI 5000.74</t>
  </si>
  <si>
    <t>DODI 5000.82</t>
  </si>
  <si>
    <t>DODI 5000.88</t>
  </si>
  <si>
    <t>DODI 4140.01</t>
  </si>
  <si>
    <t>DODI 5000.67</t>
  </si>
  <si>
    <t>DODI 5015.02</t>
  </si>
  <si>
    <t>DODI 8440.01</t>
  </si>
  <si>
    <t>DODI 5000.83</t>
  </si>
  <si>
    <t>DODD 5250.01</t>
  </si>
  <si>
    <t>DODI 5000.73</t>
  </si>
  <si>
    <t>DODI 5000.81</t>
  </si>
  <si>
    <t>DAFI 63-101/20-101</t>
  </si>
  <si>
    <t>MIL-HDBK-61B</t>
  </si>
  <si>
    <t>MIL-HDBK-189C</t>
  </si>
  <si>
    <t>MIL-HDBK-727</t>
  </si>
  <si>
    <t>DODI 5000.89</t>
  </si>
  <si>
    <t>DODI 5000.87</t>
  </si>
  <si>
    <t>DODI 5000.85</t>
  </si>
  <si>
    <t>DAFI 99-103</t>
  </si>
  <si>
    <t>DAFI 63-150</t>
  </si>
  <si>
    <t>DAFI 63-151</t>
  </si>
  <si>
    <t>DODI 8330.01</t>
  </si>
  <si>
    <t>DAFMAN 63-119</t>
  </si>
  <si>
    <t>DODM 5000.96</t>
  </si>
  <si>
    <t>DODI 8500.01</t>
  </si>
  <si>
    <t>DODM 5000.100</t>
  </si>
  <si>
    <t>Cyber Operational Test and Evaluation Guidebook</t>
  </si>
  <si>
    <t>DAFI 14-411</t>
  </si>
  <si>
    <t>DODI 5000.98</t>
  </si>
  <si>
    <t>DODM 5000.99</t>
  </si>
  <si>
    <t>DODM 5000.102</t>
  </si>
  <si>
    <t>DODM 5000.101</t>
  </si>
  <si>
    <t>DODD 3000.09</t>
  </si>
  <si>
    <t>DODI 8510.01</t>
  </si>
  <si>
    <t>DODI 5000.90</t>
  </si>
  <si>
    <t>DODI 5000.95</t>
  </si>
  <si>
    <t>DODI 5000.61</t>
  </si>
  <si>
    <t>LCSP</t>
  </si>
  <si>
    <t>Cybersecurity</t>
  </si>
  <si>
    <t>LSP</t>
  </si>
  <si>
    <t>RMP</t>
  </si>
  <si>
    <t>All</t>
  </si>
  <si>
    <t>TEMP</t>
  </si>
  <si>
    <t>Table 1</t>
  </si>
  <si>
    <t>DoDD 3000.09</t>
  </si>
  <si>
    <t>Appendix A</t>
  </si>
  <si>
    <t>Enclosure 3</t>
  </si>
  <si>
    <t>Table 3</t>
  </si>
  <si>
    <t>A2</t>
  </si>
  <si>
    <t>URL</t>
  </si>
  <si>
    <t>Plan Section</t>
  </si>
  <si>
    <t>Status</t>
  </si>
  <si>
    <t>DISA STIG Checklist</t>
  </si>
  <si>
    <t>SEP</t>
  </si>
  <si>
    <t>3.1.1</t>
  </si>
  <si>
    <t>3.1.1.2</t>
  </si>
  <si>
    <t>3.1.2</t>
  </si>
  <si>
    <t>3.1.3</t>
  </si>
  <si>
    <t>3.2.1</t>
  </si>
  <si>
    <t>3.2.2</t>
  </si>
  <si>
    <t>3.2.3</t>
  </si>
  <si>
    <t>3.2.3.1</t>
  </si>
  <si>
    <t>3.2.3.2</t>
  </si>
  <si>
    <t>3.2.4</t>
  </si>
  <si>
    <t>3.2.4.1</t>
  </si>
  <si>
    <t>3.2.5</t>
  </si>
  <si>
    <t>3.2.6</t>
  </si>
  <si>
    <t>3.2.7</t>
  </si>
  <si>
    <t>3.2.8</t>
  </si>
  <si>
    <t>3.2.8.2</t>
  </si>
  <si>
    <t>3.2.10</t>
  </si>
  <si>
    <t>3.2.11</t>
  </si>
  <si>
    <t>3.2.12</t>
  </si>
  <si>
    <t>AFMCI 63-1201</t>
  </si>
  <si>
    <t>EO 12114</t>
  </si>
  <si>
    <t xml:space="preserve"> </t>
  </si>
  <si>
    <t>Reference Section</t>
  </si>
  <si>
    <t>DCGS Plan</t>
  </si>
  <si>
    <t>?</t>
  </si>
  <si>
    <t>1.2.a</t>
  </si>
  <si>
    <t>1.2.c</t>
  </si>
  <si>
    <t>1.2.v</t>
  </si>
  <si>
    <t>4.1.c</t>
  </si>
  <si>
    <t>4.3.b</t>
  </si>
  <si>
    <t>4.3.c</t>
  </si>
  <si>
    <t>9.2.b</t>
  </si>
  <si>
    <t>1.2.i</t>
  </si>
  <si>
    <t>1.2.l</t>
  </si>
  <si>
    <t>1.2.m</t>
  </si>
  <si>
    <t>1.2.w</t>
  </si>
  <si>
    <t>2.6.b</t>
  </si>
  <si>
    <t>3.3.b</t>
  </si>
  <si>
    <t>3.5.b</t>
  </si>
  <si>
    <t>3.7.a</t>
  </si>
  <si>
    <t>4.1.e</t>
  </si>
  <si>
    <t>4.3.a</t>
  </si>
  <si>
    <t>4.3.d</t>
  </si>
  <si>
    <t>4.7.a</t>
  </si>
  <si>
    <t>6.3.b</t>
  </si>
  <si>
    <t>6.3.c</t>
  </si>
  <si>
    <t>8.2.b</t>
  </si>
  <si>
    <t>8.2.c</t>
  </si>
  <si>
    <t>9.2.d</t>
  </si>
  <si>
    <t>10.2.b</t>
  </si>
  <si>
    <t>4.8.c</t>
  </si>
  <si>
    <t>6.2.c</t>
  </si>
  <si>
    <t>4.11.b</t>
  </si>
  <si>
    <t>4.8.a</t>
  </si>
  <si>
    <t>7.2.b</t>
  </si>
  <si>
    <t>4.7.b</t>
  </si>
  <si>
    <t>3.6.f</t>
  </si>
  <si>
    <t>4.a</t>
  </si>
  <si>
    <t>4.b</t>
  </si>
  <si>
    <t>4.d</t>
  </si>
  <si>
    <t>3.3.g</t>
  </si>
  <si>
    <t>3.4.a</t>
  </si>
  <si>
    <t>3.6.a</t>
  </si>
  <si>
    <t>4.4.1</t>
  </si>
  <si>
    <t>4.4.1.1</t>
  </si>
  <si>
    <t>4.5.c</t>
  </si>
  <si>
    <t>4.4.2</t>
  </si>
  <si>
    <t>1.2.k</t>
  </si>
  <si>
    <t>4.4.3</t>
  </si>
  <si>
    <t>4.11.e</t>
  </si>
  <si>
    <t>3.4.b</t>
  </si>
  <si>
    <t>3.4.c</t>
  </si>
  <si>
    <t>3.9.a</t>
  </si>
  <si>
    <t>3.9.g</t>
  </si>
  <si>
    <t>3.d</t>
  </si>
  <si>
    <t>3.e</t>
  </si>
  <si>
    <t>3.f</t>
  </si>
  <si>
    <t>3.h</t>
  </si>
  <si>
    <t>3.k</t>
  </si>
  <si>
    <t>3.b</t>
  </si>
  <si>
    <t>8.2.e</t>
  </si>
  <si>
    <t>Enc4_1.a.(3)</t>
  </si>
  <si>
    <t>1.2.d</t>
  </si>
  <si>
    <t>4.6.1</t>
  </si>
  <si>
    <t>1.2.h</t>
  </si>
  <si>
    <t>3.3.c</t>
  </si>
  <si>
    <t>3.3.e</t>
  </si>
  <si>
    <t>3.4.g</t>
  </si>
  <si>
    <t>3.5.a</t>
  </si>
  <si>
    <t>3.5.c</t>
  </si>
  <si>
    <t>3.7.b</t>
  </si>
  <si>
    <t>3.9.f</t>
  </si>
  <si>
    <t>4.f</t>
  </si>
  <si>
    <t>8.2.d</t>
  </si>
  <si>
    <t>3.5.d</t>
  </si>
  <si>
    <t>4.6.2</t>
  </si>
  <si>
    <t>3.8.c</t>
  </si>
  <si>
    <t>3.3.d</t>
  </si>
  <si>
    <t>4.1.i</t>
  </si>
  <si>
    <t>7.1.b</t>
  </si>
  <si>
    <t>8.2.a</t>
  </si>
  <si>
    <t>4.11.a</t>
  </si>
  <si>
    <t>4.6.3</t>
  </si>
  <si>
    <t>3.6.b</t>
  </si>
  <si>
    <t>4.11.i</t>
  </si>
  <si>
    <t>6.2.b</t>
  </si>
  <si>
    <t>4.7.d</t>
  </si>
  <si>
    <t>9.2.c</t>
  </si>
  <si>
    <t>4.11.1</t>
  </si>
  <si>
    <t>3.2.b</t>
  </si>
  <si>
    <t>3.9.b</t>
  </si>
  <si>
    <t>6.3.d</t>
  </si>
  <si>
    <t>4.7.c</t>
  </si>
  <si>
    <t>4.11.2</t>
  </si>
  <si>
    <t>6.2.a</t>
  </si>
  <si>
    <t>3.6.c</t>
  </si>
  <si>
    <t>4.11.3</t>
  </si>
  <si>
    <t>3.4.f</t>
  </si>
  <si>
    <t>3.6.e</t>
  </si>
  <si>
    <t>5.2.a</t>
  </si>
  <si>
    <t>4.11.f</t>
  </si>
  <si>
    <t>4.12.1</t>
  </si>
  <si>
    <t>4.12.2</t>
  </si>
  <si>
    <t>1.2.e</t>
  </si>
  <si>
    <t>1.2.b</t>
  </si>
  <si>
    <t>3.7.d</t>
  </si>
  <si>
    <t>1.2.o</t>
  </si>
  <si>
    <t>3.4.e</t>
  </si>
  <si>
    <t>3.7.f</t>
  </si>
  <si>
    <t>4.11.d</t>
  </si>
  <si>
    <t>3.4.d</t>
  </si>
  <si>
    <t>3.4.m</t>
  </si>
  <si>
    <t>9.2.1</t>
  </si>
  <si>
    <t>3.4.n</t>
  </si>
  <si>
    <t>9.2.2</t>
  </si>
  <si>
    <t>4.1.d</t>
  </si>
  <si>
    <t>2.1.1</t>
  </si>
  <si>
    <t>2.1.1.1</t>
  </si>
  <si>
    <t>2.1.2.1</t>
  </si>
  <si>
    <t>2.2.1</t>
  </si>
  <si>
    <t>2.2.2</t>
  </si>
  <si>
    <t>2.2.3</t>
  </si>
  <si>
    <t>2.2.4</t>
  </si>
  <si>
    <t>2.2.5</t>
  </si>
  <si>
    <t>2.2.6</t>
  </si>
  <si>
    <t>2.3.1</t>
  </si>
  <si>
    <t>3.1.n</t>
  </si>
  <si>
    <t>3C.3</t>
  </si>
  <si>
    <t>4.1.a</t>
  </si>
  <si>
    <t>3.6.n</t>
  </si>
  <si>
    <t>Table A5.1</t>
  </si>
  <si>
    <t>1.2.1</t>
  </si>
  <si>
    <t>1.2.2.2</t>
  </si>
  <si>
    <t>1.2.2.3</t>
  </si>
  <si>
    <t>2.18.k</t>
  </si>
  <si>
    <t>1.2.2.4</t>
  </si>
  <si>
    <t>A2.7</t>
  </si>
  <si>
    <t>1.2.f</t>
  </si>
  <si>
    <t>2.8.2</t>
  </si>
  <si>
    <t>2.18.aa</t>
  </si>
  <si>
    <t>2.22.p</t>
  </si>
  <si>
    <t>2.22.q</t>
  </si>
  <si>
    <t>2.5.4</t>
  </si>
  <si>
    <t>Table A11.1</t>
  </si>
  <si>
    <t>2.5.5</t>
  </si>
  <si>
    <t>Table A9.1</t>
  </si>
  <si>
    <t>3.a.1</t>
  </si>
  <si>
    <t>2.6.3</t>
  </si>
  <si>
    <t>4.3.1</t>
  </si>
  <si>
    <t>3.5.3</t>
  </si>
  <si>
    <t>3.c.2</t>
  </si>
  <si>
    <t>2.1.2</t>
  </si>
  <si>
    <t>3.6.i</t>
  </si>
  <si>
    <t>2.20.h</t>
  </si>
  <si>
    <t>2.1.3</t>
  </si>
  <si>
    <t>Enclosure 3, 18.f</t>
  </si>
  <si>
    <t>3.6.m</t>
  </si>
  <si>
    <t>2.1.3.1</t>
  </si>
  <si>
    <t>3.b.3</t>
  </si>
  <si>
    <t>Table A13.1</t>
  </si>
  <si>
    <t>Table A30.1</t>
  </si>
  <si>
    <t>2.18.z</t>
  </si>
  <si>
    <t>3.c.1</t>
  </si>
  <si>
    <t>2.4.1</t>
  </si>
  <si>
    <t>1.2.g</t>
  </si>
  <si>
    <t>3.2.a</t>
  </si>
  <si>
    <t>3.3.f</t>
  </si>
  <si>
    <t>3.6.d</t>
  </si>
  <si>
    <t>Table A31.1</t>
  </si>
  <si>
    <t>Table A23.1</t>
  </si>
  <si>
    <t>Table A25.1</t>
  </si>
  <si>
    <t>2.18.u</t>
  </si>
  <si>
    <t>Table A2.1</t>
  </si>
  <si>
    <t>Table A3.1</t>
  </si>
  <si>
    <t>Table A4.1</t>
  </si>
  <si>
    <t>Table A6.1</t>
  </si>
  <si>
    <t>Table A10.1</t>
  </si>
  <si>
    <t>Table A19.1</t>
  </si>
  <si>
    <t>Table A21.1</t>
  </si>
  <si>
    <t>Table A27.1</t>
  </si>
  <si>
    <t>Table A7.1</t>
  </si>
  <si>
    <t>Table A8.1</t>
  </si>
  <si>
    <t>Table A12.1</t>
  </si>
  <si>
    <t>Table A14.1</t>
  </si>
  <si>
    <t>Table A15.1</t>
  </si>
  <si>
    <t>Table A16.1</t>
  </si>
  <si>
    <t>Table A17.1</t>
  </si>
  <si>
    <t>Table A22.1</t>
  </si>
  <si>
    <t>Table A26.1</t>
  </si>
  <si>
    <t>4.1.2</t>
  </si>
  <si>
    <t>Table A32.1</t>
  </si>
  <si>
    <t>Table A20.1</t>
  </si>
  <si>
    <t>2.22.v</t>
  </si>
  <si>
    <t>2.18.y</t>
  </si>
  <si>
    <t>2.5.7</t>
  </si>
  <si>
    <t>3.1.5</t>
  </si>
  <si>
    <t>3.1.6</t>
  </si>
  <si>
    <t>2.22.dd</t>
  </si>
  <si>
    <t>Table A28.1</t>
  </si>
  <si>
    <t>Table A24.1</t>
  </si>
  <si>
    <t>Table A29.1</t>
  </si>
  <si>
    <t>2.20.i</t>
  </si>
  <si>
    <t>Reference Number</t>
  </si>
  <si>
    <t>Reference Name</t>
  </si>
  <si>
    <t>Apdx B</t>
  </si>
  <si>
    <t>Enc 3, 5b</t>
  </si>
  <si>
    <t>Enc 3, 4.b</t>
  </si>
  <si>
    <t>Reference Date</t>
  </si>
  <si>
    <t>Autonmy in Weapon Systems</t>
  </si>
  <si>
    <t>https://www.esd.whs.mil/Portals/54/Documents/DD/issuances/DODd/300009p.PDF</t>
  </si>
  <si>
    <t>Management of Intelligence Mission Data (IMD) in DOD Acquisition</t>
  </si>
  <si>
    <t>https://www.esd.whs.mil/Portals/54/Documents/DD/issuances/DODm/500096p.PDF?ver=Wxw2Clk4AzUi5xtKSEpt8A%3d%3d</t>
  </si>
  <si>
    <t>https://www.esd.whs.mil/Portals/54/Documents/DD/issuances/DODm/500099p.PDF?ver=N-6QYZbYutUS3r9xyRoJVg%3d%3d</t>
  </si>
  <si>
    <t>https://www.esd.whs.mil/Portals/54/Documents/DD/issuances/DODm/5000100m.PDF?ver=ljPHJcRJzTogh9jxrHh9IA%3d%3d</t>
  </si>
  <si>
    <t>https://www.esd.whs.mil/Portals/54/Documents/DD/issuances/DODm/5000101p.PDF?ver=FfOR56lIK5S1LDFfSlYwYQ%3d%3d</t>
  </si>
  <si>
    <t>https://www.esd.whs.mil/Portals/54/Documents/DD/issuances/DODm/5000102m.PDF?ver=9JF3bqGJFcGiF3J3KgSTNg%3d%3d</t>
  </si>
  <si>
    <t>DODI 1650.01</t>
  </si>
  <si>
    <t>DODI 4120.24</t>
  </si>
  <si>
    <t>DODI 4630.09</t>
  </si>
  <si>
    <t>DODI 4650.01</t>
  </si>
  <si>
    <t>DODI 5000.02</t>
  </si>
  <si>
    <t>https://www.esd.whs.mil/Portals/54/Documents/DD/issuances/dodd/525001p.pdf?ver=2019-07-08-094552-877</t>
  </si>
  <si>
    <t>Protection of Mission Critical Functions to Achieve Trusted Systems and Networks </t>
  </si>
  <si>
    <t>https://www.esd.whs.mil/Portals/54/Documents/DD/issuances/dodi/520044p.pdf?ver=FykYguJCo0S8RyRGdriRvg%3d%3d</t>
  </si>
  <si>
    <t>DODI 5200.44</t>
  </si>
  <si>
    <t>Not A Valid Document</t>
  </si>
  <si>
    <t>https://www.esd.whs.mil/Portals/54/Documents/DD/issuances/dodi/412024p.pdf?ver=AXPUKcdZnh18wAAfx63Vnw%3d%3d</t>
  </si>
  <si>
    <t>XXX</t>
  </si>
  <si>
    <t>Defense Standardization Program</t>
  </si>
  <si>
    <t>DoD Supply Chain Materiel Management Policy</t>
  </si>
  <si>
    <t>https://www.esd.whs.mil/Portals/54/Documents/DD/issuances/dodi/414001p.PDF?ver=x3uRuJnmOdRqFqi2XkEYrQ%3d%3d</t>
  </si>
  <si>
    <t>Communications Waveform Management and Standardization</t>
  </si>
  <si>
    <t>https://www.esd.whs.mil/Portals/54/Documents/DD/issuances/dodi/463009p.pdf?ver=_AodYK2mcqGmezDUQiIGhA%3d%3d</t>
  </si>
  <si>
    <t>Policy and Procedures for Management and Use of the Electromagnetic Spectrum</t>
  </si>
  <si>
    <t>https://www.esd.whs.mil/Portals/54/Documents/DD/issuances/dodi/465001p.pdf?ver=2019-01-24-112300-743</t>
  </si>
  <si>
    <t>Operation of the Adaptive Acquisition Framework</t>
  </si>
  <si>
    <t>https://www.esd.whs.mil/Portals/54/Documents/DD/issuances/dodi/500002p.PDF?ver=dwMrujJ8qEhU9oageF1fTA%3d%3d</t>
  </si>
  <si>
    <t>The Defense Acquisition System</t>
  </si>
  <si>
    <t>DODD 5000.01</t>
  </si>
  <si>
    <t>https://www.esd.whs.mil/Portals/54/Documents/DD/issuances/dodd/500001p.pdf?ver=IxP_j399Em4zTd4PqFjuTQ%3d%3d</t>
  </si>
  <si>
    <t>DoD Modeling and Simulation Verification, Validation, and Accreditation</t>
  </si>
  <si>
    <t>https://www.esd.whs.mil/Portals/54/Documents/DD/issuances/dodi/500061p.pdf?ver=jRGu271k46n5T9NPRwT-sQ%3d%3d</t>
  </si>
  <si>
    <t>Prevention and Mitigation of Corrosion on DoD Military Equipment and Infrastructure</t>
  </si>
  <si>
    <t>https://www.esd.whs.mil/Portals/54/Documents/DD/issuances/dodi/500067p.pdf?ver=2019-03-07-133844-480</t>
  </si>
  <si>
    <t>Cost Analysis Guidance and Procedures</t>
  </si>
  <si>
    <t>https://www.esd.whs.mil/Portals/54/Documents/DD/issuances/dodi/500073p.pdf?ver=Mekug5erzBO86eUqBSaeaw%3d%3d</t>
  </si>
  <si>
    <t>Defense Acquisition of Services</t>
  </si>
  <si>
    <t>https://www.esd.whs.mil/Portals/54/Documents/DD/issuances/dodi/500074p.pdf?ver=IZVR50IvjWDdP81SFWQh5Q%3d%3d</t>
  </si>
  <si>
    <t>Operation of the Middle Tier of Acquisition (MTA)</t>
  </si>
  <si>
    <t>https://www.esd.whs.mil/Portals/54/Documents/DD/issuances/dodi/500080p.PDF?ver=QsDA5aJ20jnMMxhx1z5mJQ%3d%3d</t>
  </si>
  <si>
    <t>Urgent Capability Acquisition</t>
  </si>
  <si>
    <t>https://www.esd.whs.mil/Portals/54/Documents/DD/issuances/dodi/500081p.PDF?ver=2019-12-31-133941-660</t>
  </si>
  <si>
    <t>Requirements for the Acquisition of Digital Capabilities</t>
  </si>
  <si>
    <t>https://www.esd.whs.mil/Portals/54/Documents/DD/issuances/dodi/500082p.pdf?ver=QZaqmiSGQ9iDARW1j-_hgw%3d%3d</t>
  </si>
  <si>
    <t>Technology and Program Protection to Maintain Technological Advantage</t>
  </si>
  <si>
    <t>https://www.esd.whs.mil/Portals/54/Documents/DD/issuances/dodi/500083p.pdf?ver=fmz4Sx5tYVXnJZNKIoPoUQ%3d%3d</t>
  </si>
  <si>
    <t>Major Capability Acquisition</t>
  </si>
  <si>
    <t>https://www.esd.whs.mil/Portals/54/Documents/DD/issuances/dodi/500085p.pdf?ver=RYqeB690-qd-txjFEAZ72A%3d%3d</t>
  </si>
  <si>
    <t>Operation of the Software Acquisition Pathway</t>
  </si>
  <si>
    <t>https://www.esd.whs.mil/Portals/54/Documents/DD/issuances/dodi/500087p.PDF?ver=virAfQj4v_LgN1JxpB_dpA%3d%3d</t>
  </si>
  <si>
    <t>Engineering of Defense Systems</t>
  </si>
  <si>
    <t>https://www.esd.whs.mil/Portals/54/Documents/DD/issuances/dodi/500088p.PDF?ver=O8LFc8NzlyJX-SgM2Haalw%3d%3d</t>
  </si>
  <si>
    <t>Test and Evaluation</t>
  </si>
  <si>
    <t>https://www.esd.whs.mil/Portals/54/Documents/DD/issuances/dodi/500089p.PDF?ver=Plc85E0-NVNide91K3XQLA%3d%3d</t>
  </si>
  <si>
    <t>Cybersecurity for Acquisition Decision Authorities and Program Managers</t>
  </si>
  <si>
    <t>https://www.esd.whs.mil/Portals/54/Documents/DD/issuances/dodi/500090p.PDF?ver=MIG3uLnzXl31QcvXJTZ5uA%3d%3d</t>
  </si>
  <si>
    <t>Product Support Management for the Adaptive Acquisition  Framework</t>
  </si>
  <si>
    <t>https://www.esd.whs.mil/Portals/54/Documents/DD/issuances/dodi/500091p.PDF?ver=qk1slCU3Y0c1acIDocWyJA%3d%3d</t>
  </si>
  <si>
    <t>https://www.esd.whs.mil/Portals/54/Documents/DD/issuances/dodi/500095p.PDF?ver=C1L4ZM9Wi4Qa4p7JP7EPtA%3d%3d</t>
  </si>
  <si>
    <t>https://www.esd.whs.mil/Portals/54/Documents/DD/issuances/dodi/500098p.PDF?ver=InJ_BDOOVcUHyurlNv_FAg%3d%3d</t>
  </si>
  <si>
    <t>DoW Records Management Program</t>
  </si>
  <si>
    <t>https://www.esd.whs.mil/Portals/54/Documents/DD/issuances/dodi/501502p.PDF?ver=OJUzNkxKuwZEaJjTAm7uTQ%3d%3d</t>
  </si>
  <si>
    <t>Interoperability of Information Technology, Including National Security Systems</t>
  </si>
  <si>
    <t>https://www.esd.whs.mil/Portals/54/Documents/DD/issuances/dodi/833001p.pdf?ver=c7Bds_aCFKSe7SK_MiYBIg%3d%3d</t>
  </si>
  <si>
    <t>DoD Information Technology (IT) Service Management (ITSM)</t>
  </si>
  <si>
    <t>https://www.esd.whs.mil/Portals/54/Documents/DD/issuances/dodi/844001p.pdf</t>
  </si>
  <si>
    <t>https://www.esd.whs.mil/Portals/54/Documents/DD/issuances/dodi/850001_2014.pdf?ver=2019-10-07-112048-860</t>
  </si>
  <si>
    <t>Risk Management Framework for DoD Systems</t>
  </si>
  <si>
    <t>https://www.esd.whs.mil/Portals/54/Documents/DD/issuances/dodi/851001p.pdf?ver=5YnACrAlUCPZ_qeq4T5nlg%3d%3d</t>
  </si>
  <si>
    <t>Configuration Management Guidance</t>
  </si>
  <si>
    <t>https://quicksearch.dla.mil/Transient/4D9CE4ACB1B74FFC874DE57D349F3740.pdf</t>
  </si>
  <si>
    <t>Reliability Growth Management</t>
  </si>
  <si>
    <t>https://quicksearch.dla.mil/Transient/62299454E1FF4E6082B94955AE748F38.pdf</t>
  </si>
  <si>
    <t>https://quicksearch.dla.mil/Transient/8B1764D69FB948A3A3A60DAAF23A5467.pdf</t>
  </si>
  <si>
    <t>MIL-STD-882E</t>
  </si>
  <si>
    <t>System Safety</t>
  </si>
  <si>
    <t>https://quicksearch.dla.mil/Transient/4A466D8B3FA0466A942877E15486DEB6.pdf</t>
  </si>
  <si>
    <t>https://static.e-publishing.af.mil/production/1/af_a2_6/publication/dafi14-411/dafi14-411.pdf</t>
  </si>
  <si>
    <t>Acquisition Intelligence</t>
  </si>
  <si>
    <t>https://static.e-publishing.af.mil/production/1/af_te/publication/dodi5000.89_dafi99-103/dodi5000.89_dafi99-103.pdf</t>
  </si>
  <si>
    <t>https://static.e-publishing.af.mil/production/1/saf_aq/publication/dodi5000.87_dafi63-150/dodi5000.87_afi63-150.pdf</t>
  </si>
  <si>
    <t>https://static.e-publishing.af.mil/production/1/saf_aq/publication/dodi5000.85_dafi63-151/dodi5000.85_dafi63-151.pdf</t>
  </si>
  <si>
    <t>Integrated Life Cycle Management</t>
  </si>
  <si>
    <t>https://static.e-publishing.af.mil/production/1/saf_aq/publication/dafi63-101_20-101/dafi63-101_20-101.pdf</t>
  </si>
  <si>
    <t>Mission-Oriented Test Readiness Certification</t>
  </si>
  <si>
    <t>https://static.e-publishing.af.mil/production/1/saf_aq/publication/dafman63-119/dafman63-119.pdf</t>
  </si>
  <si>
    <t>DAFP 99-101</t>
  </si>
  <si>
    <t>https://static.e-publishing.af.mil/production/1/acc/publication/acci99-101/acci99-101.pdf</t>
  </si>
  <si>
    <t>https://www.afacpo.com/AQDocs/System%20Engineering%20Plans.docx</t>
  </si>
  <si>
    <t>Defense for Research and Engineering</t>
  </si>
  <si>
    <t>https://www.waru.edu/sites/default/files/2026-05/Integrated%20Product%20Support%20%28IPS%29%20Element-Guidebook%20v1.1b%20Update%205_2026.pdf</t>
  </si>
  <si>
    <t>Integrated Product Support (IPS)
Elements Guidebook</t>
  </si>
  <si>
    <t>https://www.cyber.mil/stigs/downloads</t>
  </si>
  <si>
    <t>DISA Security Technical Implementation Guide Checklist</t>
  </si>
  <si>
    <t>https://www.dote.osd.mil/Portals/97/pub/guidebooks/2025/Cyber%20Operational%20Test%20and%20Evaluation%20Guidebook%2020250206%20w-cover%20memo%20(29625).pdf?ver=NIz6GX6cjZQjGtxAq4jo0w%3d%3d</t>
  </si>
  <si>
    <t>Environmental Effects Abroad of Major Federal Actions</t>
  </si>
  <si>
    <t>https://www.archives.gov/federal-register/codification/executive-order/12114.html</t>
  </si>
  <si>
    <t>Human Systems Integration in Defense Acquisition</t>
  </si>
  <si>
    <t>Engineering of Defense Systems Guidebook</t>
  </si>
  <si>
    <t xml:space="preserve">Modeling and Simulation Verification, Validation and Accreditation For Operational Test and Evaluation and Live Fire Test and Evaluation </t>
  </si>
  <si>
    <t>Canceled 2026-08-03</t>
  </si>
  <si>
    <t xml:space="preserve">Operational and Live Fire Test and Evaluation of Software </t>
  </si>
  <si>
    <t xml:space="preserve">Realistic Full Spectrum Survivability and Lethality Testing </t>
  </si>
  <si>
    <t xml:space="preserve">Test and Evaluation Master Plans and Test and Evaluation Strategies </t>
  </si>
  <si>
    <r>
      <t>Operational Test and Evaluation and Live Fire Test and Evaluation of Artificial Intelligence-Enabled and Autonomous Systems</t>
    </r>
    <r>
      <rPr>
        <sz val="11"/>
        <color rgb="FFC00000"/>
        <rFont val="Aptos Display"/>
        <family val="2"/>
        <scheme val="major"/>
      </rPr>
      <t xml:space="preserve"> </t>
    </r>
  </si>
  <si>
    <t xml:space="preserve">Operational Test and Evaluation and Live Fire Test and Evaluation of Artificial Intelligence-Enabled and Autonomous Systems </t>
  </si>
  <si>
    <t xml:space="preserve">Design Guidance for Producibility </t>
  </si>
  <si>
    <t>Canceled 2026-06-29</t>
  </si>
  <si>
    <t>EDSGB</t>
  </si>
  <si>
    <t>https://www.waru.edu/sites/default/files/2024-10/Eng-Def-Sys-Change2-7October2024-v3.pdf</t>
  </si>
  <si>
    <t>IPSEGB</t>
  </si>
  <si>
    <t>COT&amp;EGB</t>
  </si>
  <si>
    <t>https://static.e-publishing.af.mil/production/1/afmc/publication/afi63-101_afmcsup/afi63-101_afmcsup.pdf</t>
  </si>
  <si>
    <t>Acquisition and Sustainment Life Cycle Management</t>
  </si>
  <si>
    <t>DAFP 63-128</t>
  </si>
  <si>
    <t>https://static.e-publishing.af.mil/production/1/saf_aq/publication/dafpam63-128/dafpam63-128.pdf</t>
  </si>
  <si>
    <t>PSMGB</t>
  </si>
  <si>
    <t>Product Support Manager Guidebook</t>
  </si>
  <si>
    <t>https://www.waru.edu/sites/default/files/Migrated/ToolAttachments/Product-Support-Manager-%28PSM%29-Guidebook.pdf</t>
  </si>
  <si>
    <t>DODD 4715.0E</t>
  </si>
  <si>
    <t>Environment, Safety, and Occupational Health (ESOH)</t>
  </si>
  <si>
    <t>https://www.esd.whs.mil/Portals/54/Documents/DD/issuances/dodd/47151Ep.PDF?ver=2019-12-30-141505-590</t>
  </si>
  <si>
    <t>EO 14154</t>
  </si>
  <si>
    <t>Unleashing American Energy</t>
  </si>
  <si>
    <t>https://www.govinfo.gov/content/pkg/DCPD-202500121/pdf/DCPD-202500121.pdf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</si>
</sst>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C00000"/>
      <name val="Aptos Display"/>
      <family val="2"/>
      <scheme val="major"/>
    </font>
    <font>
      <sz val="11"/>
      <color rgb="FF333333"/>
      <name val="Aptos Display"/>
      <family val="2"/>
      <scheme val="major"/>
    </font>
    <font>
      <sz val="11"/>
      <color rgb="FFC00000"/>
      <name val="Aptos Narrow"/>
      <family val="2"/>
      <scheme val="minor"/>
    </font>
    <font>
      <sz val="10"/>
      <color rgb="FF1B1B1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11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5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horizontal="left" vertical="center"/>
    </xf>
    <xf numFmtId="164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2"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B9BE-C762-4A57-9964-41006AA7E8E3}">
  <sheetPr filterMode="1"/>
  <dimension ref="A1:H436"/>
  <sheetViews>
    <sheetView tabSelected="1" zoomScale="140" zoomScaleNormal="140" workbookViewId="0">
      <pane ySplit="1" topLeftCell="A78" activePane="bottomLeft" state="frozen"/>
      <selection pane="bottomLeft" activeCell="K85" sqref="K85"/>
    </sheetView>
  </sheetViews>
  <sheetFormatPr defaultColWidth="8.85546875" defaultRowHeight="15" x14ac:dyDescent="0.25"/>
  <cols>
    <col min="1" max="1" width="17.5703125" style="1" bestFit="1" customWidth="1"/>
    <col min="2" max="2" width="32.42578125" style="1" bestFit="1" customWidth="1"/>
    <col min="3" max="3" width="11" style="3" bestFit="1" customWidth="1"/>
    <col min="4" max="4" width="15" style="7" bestFit="1" customWidth="1"/>
    <col min="5" max="5" width="5.85546875" style="3" bestFit="1" customWidth="1"/>
    <col min="6" max="6" width="7.42578125" style="3" bestFit="1" customWidth="1"/>
    <col min="7" max="7" width="113.140625" style="2" bestFit="1" customWidth="1"/>
    <col min="8" max="8" width="8.85546875" style="2"/>
    <col min="9" max="16384" width="8.85546875" style="1"/>
  </cols>
  <sheetData>
    <row r="1" spans="1:7" ht="45" x14ac:dyDescent="0.25">
      <c r="A1" s="28" t="s">
        <v>278</v>
      </c>
      <c r="B1" s="29" t="s">
        <v>279</v>
      </c>
      <c r="C1" s="29" t="s">
        <v>78</v>
      </c>
      <c r="D1" s="30" t="s">
        <v>283</v>
      </c>
      <c r="E1" s="29" t="s">
        <v>79</v>
      </c>
      <c r="F1" s="29" t="s">
        <v>52</v>
      </c>
      <c r="G1" s="31" t="s">
        <v>51</v>
      </c>
    </row>
    <row r="2" spans="1:7" x14ac:dyDescent="0.25">
      <c r="A2" s="32" t="s">
        <v>314</v>
      </c>
      <c r="B2" s="21" t="str">
        <f>_xlfn.XLOOKUP(A2,'Reference Master List'!$A:$A,'Reference Master List'!$B:$B,"NOT FOUND")</f>
        <v>The Defense Acquisition System</v>
      </c>
      <c r="C2" s="22" t="s">
        <v>81</v>
      </c>
      <c r="D2" s="23">
        <f>_xlfn.XLOOKUP(A2,'Reference Master List'!$A:$A,'Reference Master List'!$D:$D,"NOT FOUND")</f>
        <v>44770</v>
      </c>
      <c r="E2" s="24" t="s">
        <v>39</v>
      </c>
      <c r="F2" s="24">
        <v>1</v>
      </c>
      <c r="G2" s="33" t="str">
        <f>_xlfn.XLOOKUP(A2,'Reference Master List'!$A:$A,'Reference Master List'!$E:$E,"NOT FOUND")</f>
        <v>https://www.esd.whs.mil/Portals/54/Documents/DD/issuances/dodd/500001p.pdf?ver=IxP_j399Em4zTd4PqFjuTQ%3d%3d</v>
      </c>
    </row>
    <row r="3" spans="1:7" x14ac:dyDescent="0.25">
      <c r="A3" s="32" t="s">
        <v>314</v>
      </c>
      <c r="B3" s="21" t="str">
        <f>_xlfn.XLOOKUP(A3,'Reference Master List'!$A:$A,'Reference Master List'!$B:$B,"NOT FOUND")</f>
        <v>The Defense Acquisition System</v>
      </c>
      <c r="C3" s="22" t="s">
        <v>82</v>
      </c>
      <c r="D3" s="23">
        <f>_xlfn.XLOOKUP(A3,'Reference Master List'!$A:$A,'Reference Master List'!$D:$D,"NOT FOUND")</f>
        <v>44770</v>
      </c>
      <c r="E3" s="24" t="s">
        <v>39</v>
      </c>
      <c r="F3" s="24">
        <v>1</v>
      </c>
      <c r="G3" s="33" t="str">
        <f>_xlfn.XLOOKUP(A3,'Reference Master List'!$A:$A,'Reference Master List'!$E:$E,"NOT FOUND")</f>
        <v>https://www.esd.whs.mil/Portals/54/Documents/DD/issuances/dodd/500001p.pdf?ver=IxP_j399Em4zTd4PqFjuTQ%3d%3d</v>
      </c>
    </row>
    <row r="4" spans="1:7" x14ac:dyDescent="0.25">
      <c r="A4" s="32" t="s">
        <v>314</v>
      </c>
      <c r="B4" s="21" t="str">
        <f>_xlfn.XLOOKUP(A4,'Reference Master List'!$A:$A,'Reference Master List'!$B:$B,"NOT FOUND")</f>
        <v>The Defense Acquisition System</v>
      </c>
      <c r="C4" s="22" t="s">
        <v>83</v>
      </c>
      <c r="D4" s="23">
        <f>_xlfn.XLOOKUP(A4,'Reference Master List'!$A:$A,'Reference Master List'!$D:$D,"NOT FOUND")</f>
        <v>44770</v>
      </c>
      <c r="E4" s="24" t="s">
        <v>39</v>
      </c>
      <c r="F4" s="24">
        <v>1</v>
      </c>
      <c r="G4" s="33" t="str">
        <f>_xlfn.XLOOKUP(A4,'Reference Master List'!$A:$A,'Reference Master List'!$E:$E,"NOT FOUND")</f>
        <v>https://www.esd.whs.mil/Portals/54/Documents/DD/issuances/dodd/500001p.pdf?ver=IxP_j399Em4zTd4PqFjuTQ%3d%3d</v>
      </c>
    </row>
    <row r="5" spans="1:7" ht="45" x14ac:dyDescent="0.25">
      <c r="A5" s="32" t="s">
        <v>0</v>
      </c>
      <c r="B5" s="21" t="str">
        <f>_xlfn.XLOOKUP(A5,'Reference Master List'!$A:$A,'Reference Master List'!$B:$B,"NOT FOUND")</f>
        <v>Product Support Management for the Adaptive Acquisition  Framework</v>
      </c>
      <c r="C5" s="22" t="s">
        <v>84</v>
      </c>
      <c r="D5" s="23">
        <f>_xlfn.XLOOKUP(A5,'Reference Master List'!$A:$A,'Reference Master List'!$D:$D,"NOT FOUND")</f>
        <v>44504</v>
      </c>
      <c r="E5" s="24" t="s">
        <v>39</v>
      </c>
      <c r="F5" s="24">
        <v>1</v>
      </c>
      <c r="G5" s="33" t="str">
        <f>_xlfn.XLOOKUP(A5,'Reference Master List'!$A:$A,'Reference Master List'!$E:$E,"NOT FOUND")</f>
        <v>https://www.esd.whs.mil/Portals/54/Documents/DD/issuances/dodi/500091p.PDF?ver=qk1slCU3Y0c1acIDocWyJA%3d%3d</v>
      </c>
    </row>
    <row r="6" spans="1:7" ht="45" x14ac:dyDescent="0.25">
      <c r="A6" s="32" t="s">
        <v>0</v>
      </c>
      <c r="B6" s="21" t="str">
        <f>_xlfn.XLOOKUP(A6,'Reference Master List'!$A:$A,'Reference Master List'!$B:$B,"NOT FOUND")</f>
        <v>Product Support Management for the Adaptive Acquisition  Framework</v>
      </c>
      <c r="C6" s="22" t="s">
        <v>85</v>
      </c>
      <c r="D6" s="23">
        <f>_xlfn.XLOOKUP(A6,'Reference Master List'!$A:$A,'Reference Master List'!$D:$D,"NOT FOUND")</f>
        <v>44504</v>
      </c>
      <c r="E6" s="24" t="s">
        <v>39</v>
      </c>
      <c r="F6" s="24">
        <v>1</v>
      </c>
      <c r="G6" s="33" t="str">
        <f>_xlfn.XLOOKUP(A6,'Reference Master List'!$A:$A,'Reference Master List'!$E:$E,"NOT FOUND")</f>
        <v>https://www.esd.whs.mil/Portals/54/Documents/DD/issuances/dodi/500091p.PDF?ver=qk1slCU3Y0c1acIDocWyJA%3d%3d</v>
      </c>
    </row>
    <row r="7" spans="1:7" ht="45" x14ac:dyDescent="0.25">
      <c r="A7" s="32" t="s">
        <v>0</v>
      </c>
      <c r="B7" s="21" t="str">
        <f>_xlfn.XLOOKUP(A7,'Reference Master List'!$A:$A,'Reference Master List'!$B:$B,"NOT FOUND")</f>
        <v>Product Support Management for the Adaptive Acquisition  Framework</v>
      </c>
      <c r="C7" s="22" t="s">
        <v>86</v>
      </c>
      <c r="D7" s="23">
        <f>_xlfn.XLOOKUP(A7,'Reference Master List'!$A:$A,'Reference Master List'!$D:$D,"NOT FOUND")</f>
        <v>44504</v>
      </c>
      <c r="E7" s="24" t="s">
        <v>39</v>
      </c>
      <c r="F7" s="24">
        <v>1</v>
      </c>
      <c r="G7" s="33" t="str">
        <f>_xlfn.XLOOKUP(A7,'Reference Master List'!$A:$A,'Reference Master List'!$E:$E,"NOT FOUND")</f>
        <v>https://www.esd.whs.mil/Portals/54/Documents/DD/issuances/dodi/500091p.PDF?ver=qk1slCU3Y0c1acIDocWyJA%3d%3d</v>
      </c>
    </row>
    <row r="8" spans="1:7" ht="45" x14ac:dyDescent="0.25">
      <c r="A8" s="32" t="s">
        <v>0</v>
      </c>
      <c r="B8" s="21" t="str">
        <f>_xlfn.XLOOKUP(A8,'Reference Master List'!$A:$A,'Reference Master List'!$B:$B,"NOT FOUND")</f>
        <v>Product Support Management for the Adaptive Acquisition  Framework</v>
      </c>
      <c r="C8" s="22" t="s">
        <v>87</v>
      </c>
      <c r="D8" s="23">
        <f>_xlfn.XLOOKUP(A8,'Reference Master List'!$A:$A,'Reference Master List'!$D:$D,"NOT FOUND")</f>
        <v>44504</v>
      </c>
      <c r="E8" s="24" t="s">
        <v>39</v>
      </c>
      <c r="F8" s="24">
        <v>1</v>
      </c>
      <c r="G8" s="33" t="str">
        <f>_xlfn.XLOOKUP(A8,'Reference Master List'!$A:$A,'Reference Master List'!$E:$E,"NOT FOUND")</f>
        <v>https://www.esd.whs.mil/Portals/54/Documents/DD/issuances/dodi/500091p.PDF?ver=qk1slCU3Y0c1acIDocWyJA%3d%3d</v>
      </c>
    </row>
    <row r="9" spans="1:7" x14ac:dyDescent="0.25">
      <c r="A9" s="32" t="s">
        <v>314</v>
      </c>
      <c r="B9" s="21" t="str">
        <f>_xlfn.XLOOKUP(A9,'Reference Master List'!$A:$A,'Reference Master List'!$B:$B,"NOT FOUND")</f>
        <v>The Defense Acquisition System</v>
      </c>
      <c r="C9" s="22" t="s">
        <v>88</v>
      </c>
      <c r="D9" s="23">
        <f>_xlfn.XLOOKUP(A9,'Reference Master List'!$A:$A,'Reference Master List'!$D:$D,"NOT FOUND")</f>
        <v>44770</v>
      </c>
      <c r="E9" s="24" t="s">
        <v>39</v>
      </c>
      <c r="F9" s="24">
        <v>2</v>
      </c>
      <c r="G9" s="33" t="str">
        <f>_xlfn.XLOOKUP(A9,'Reference Master List'!$A:$A,'Reference Master List'!$E:$E,"NOT FOUND")</f>
        <v>https://www.esd.whs.mil/Portals/54/Documents/DD/issuances/dodd/500001p.pdf?ver=IxP_j399Em4zTd4PqFjuTQ%3d%3d</v>
      </c>
    </row>
    <row r="10" spans="1:7" x14ac:dyDescent="0.25">
      <c r="A10" s="32" t="s">
        <v>314</v>
      </c>
      <c r="B10" s="21" t="str">
        <f>_xlfn.XLOOKUP(A10,'Reference Master List'!$A:$A,'Reference Master List'!$B:$B,"NOT FOUND")</f>
        <v>The Defense Acquisition System</v>
      </c>
      <c r="C10" s="22" t="s">
        <v>89</v>
      </c>
      <c r="D10" s="23">
        <f>_xlfn.XLOOKUP(A10,'Reference Master List'!$A:$A,'Reference Master List'!$D:$D,"NOT FOUND")</f>
        <v>44770</v>
      </c>
      <c r="E10" s="24" t="s">
        <v>39</v>
      </c>
      <c r="F10" s="24">
        <v>2</v>
      </c>
      <c r="G10" s="33" t="str">
        <f>_xlfn.XLOOKUP(A10,'Reference Master List'!$A:$A,'Reference Master List'!$E:$E,"NOT FOUND")</f>
        <v>https://www.esd.whs.mil/Portals/54/Documents/DD/issuances/dodd/500001p.pdf?ver=IxP_j399Em4zTd4PqFjuTQ%3d%3d</v>
      </c>
    </row>
    <row r="11" spans="1:7" x14ac:dyDescent="0.25">
      <c r="A11" s="32" t="s">
        <v>314</v>
      </c>
      <c r="B11" s="21" t="str">
        <f>_xlfn.XLOOKUP(A11,'Reference Master List'!$A:$A,'Reference Master List'!$B:$B,"NOT FOUND")</f>
        <v>The Defense Acquisition System</v>
      </c>
      <c r="C11" s="22" t="s">
        <v>90</v>
      </c>
      <c r="D11" s="23">
        <f>_xlfn.XLOOKUP(A11,'Reference Master List'!$A:$A,'Reference Master List'!$D:$D,"NOT FOUND")</f>
        <v>44770</v>
      </c>
      <c r="E11" s="24" t="s">
        <v>39</v>
      </c>
      <c r="F11" s="24">
        <v>2</v>
      </c>
      <c r="G11" s="33" t="str">
        <f>_xlfn.XLOOKUP(A11,'Reference Master List'!$A:$A,'Reference Master List'!$E:$E,"NOT FOUND")</f>
        <v>https://www.esd.whs.mil/Portals/54/Documents/DD/issuances/dodd/500001p.pdf?ver=IxP_j399Em4zTd4PqFjuTQ%3d%3d</v>
      </c>
    </row>
    <row r="12" spans="1:7" x14ac:dyDescent="0.25">
      <c r="A12" s="32" t="s">
        <v>314</v>
      </c>
      <c r="B12" s="21" t="str">
        <f>_xlfn.XLOOKUP(A12,'Reference Master List'!$A:$A,'Reference Master List'!$B:$B,"NOT FOUND")</f>
        <v>The Defense Acquisition System</v>
      </c>
      <c r="C12" s="22" t="s">
        <v>91</v>
      </c>
      <c r="D12" s="23">
        <f>_xlfn.XLOOKUP(A12,'Reference Master List'!$A:$A,'Reference Master List'!$D:$D,"NOT FOUND")</f>
        <v>44770</v>
      </c>
      <c r="E12" s="24" t="s">
        <v>39</v>
      </c>
      <c r="F12" s="24">
        <v>2</v>
      </c>
      <c r="G12" s="33" t="str">
        <f>_xlfn.XLOOKUP(A12,'Reference Master List'!$A:$A,'Reference Master List'!$E:$E,"NOT FOUND")</f>
        <v>https://www.esd.whs.mil/Portals/54/Documents/DD/issuances/dodd/500001p.pdf?ver=IxP_j399Em4zTd4PqFjuTQ%3d%3d</v>
      </c>
    </row>
    <row r="13" spans="1:7" ht="30" x14ac:dyDescent="0.25">
      <c r="A13" s="32" t="s">
        <v>1</v>
      </c>
      <c r="B13" s="21" t="str">
        <f>_xlfn.XLOOKUP(A13,'Reference Master List'!$A:$A,'Reference Master List'!$B:$B,"NOT FOUND")</f>
        <v>Operation of the Middle Tier of Acquisition (MTA)</v>
      </c>
      <c r="C13" s="22" t="s">
        <v>92</v>
      </c>
      <c r="D13" s="23">
        <f>_xlfn.XLOOKUP(A13,'Reference Master List'!$A:$A,'Reference Master List'!$D:$D,"NOT FOUND")</f>
        <v>45621</v>
      </c>
      <c r="E13" s="24" t="s">
        <v>39</v>
      </c>
      <c r="F13" s="24">
        <v>2</v>
      </c>
      <c r="G13" s="33" t="str">
        <f>_xlfn.XLOOKUP(A13,'Reference Master List'!$A:$A,'Reference Master List'!$E:$E,"NOT FOUND")</f>
        <v>https://www.esd.whs.mil/Portals/54/Documents/DD/issuances/dodi/500080p.PDF?ver=QsDA5aJ20jnMMxhx1z5mJQ%3d%3d</v>
      </c>
    </row>
    <row r="14" spans="1:7" x14ac:dyDescent="0.25">
      <c r="A14" s="32" t="s">
        <v>2</v>
      </c>
      <c r="B14" s="21" t="str">
        <f>_xlfn.XLOOKUP(A14,'Reference Master List'!$A:$A,'Reference Master List'!$B:$B,"NOT FOUND")</f>
        <v>Defense Acquisition of Services</v>
      </c>
      <c r="C14" s="22" t="s">
        <v>93</v>
      </c>
      <c r="D14" s="23">
        <f>_xlfn.XLOOKUP(A14,'Reference Master List'!$A:$A,'Reference Master List'!$D:$D,"NOT FOUND")</f>
        <v>44371</v>
      </c>
      <c r="E14" s="24" t="s">
        <v>39</v>
      </c>
      <c r="F14" s="24">
        <v>2</v>
      </c>
      <c r="G14" s="33" t="str">
        <f>_xlfn.XLOOKUP(A14,'Reference Master List'!$A:$A,'Reference Master List'!$E:$E,"NOT FOUND")</f>
        <v>https://www.esd.whs.mil/Portals/54/Documents/DD/issuances/dodi/500074p.pdf?ver=IZVR50IvjWDdP81SFWQh5Q%3d%3d</v>
      </c>
    </row>
    <row r="15" spans="1:7" ht="30" x14ac:dyDescent="0.25">
      <c r="A15" s="32" t="s">
        <v>3</v>
      </c>
      <c r="B15" s="21" t="str">
        <f>_xlfn.XLOOKUP(A15,'Reference Master List'!$A:$A,'Reference Master List'!$B:$B,"NOT FOUND")</f>
        <v>Requirements for the Acquisition of Digital Capabilities</v>
      </c>
      <c r="C15" s="22" t="s">
        <v>94</v>
      </c>
      <c r="D15" s="23">
        <f>_xlfn.XLOOKUP(A15,'Reference Master List'!$A:$A,'Reference Master List'!$D:$D,"NOT FOUND")</f>
        <v>45078</v>
      </c>
      <c r="E15" s="24" t="s">
        <v>39</v>
      </c>
      <c r="F15" s="24">
        <v>2</v>
      </c>
      <c r="G15" s="33" t="str">
        <f>_xlfn.XLOOKUP(A15,'Reference Master List'!$A:$A,'Reference Master List'!$E:$E,"NOT FOUND")</f>
        <v>https://www.esd.whs.mil/Portals/54/Documents/DD/issuances/dodi/500082p.pdf?ver=QZaqmiSGQ9iDARW1j-_hgw%3d%3d</v>
      </c>
    </row>
    <row r="16" spans="1:7" x14ac:dyDescent="0.25">
      <c r="A16" s="32" t="s">
        <v>4</v>
      </c>
      <c r="B16" s="21" t="str">
        <f>_xlfn.XLOOKUP(A16,'Reference Master List'!$A:$A,'Reference Master List'!$B:$B,"NOT FOUND")</f>
        <v>Engineering of Defense Systems</v>
      </c>
      <c r="C16" s="22" t="s">
        <v>95</v>
      </c>
      <c r="D16" s="23">
        <f>_xlfn.XLOOKUP(A16,'Reference Master List'!$A:$A,'Reference Master List'!$D:$D,"NOT FOUND")</f>
        <v>44153</v>
      </c>
      <c r="E16" s="24" t="s">
        <v>39</v>
      </c>
      <c r="F16" s="24">
        <v>2</v>
      </c>
      <c r="G16" s="33" t="str">
        <f>_xlfn.XLOOKUP(A16,'Reference Master List'!$A:$A,'Reference Master List'!$E:$E,"NOT FOUND")</f>
        <v>https://www.esd.whs.mil/Portals/54/Documents/DD/issuances/dodi/500088p.PDF?ver=O8LFc8NzlyJX-SgM2Haalw%3d%3d</v>
      </c>
    </row>
    <row r="17" spans="1:7" ht="45" x14ac:dyDescent="0.25">
      <c r="A17" s="32" t="s">
        <v>0</v>
      </c>
      <c r="B17" s="21" t="str">
        <f>_xlfn.XLOOKUP(A17,'Reference Master List'!$A:$A,'Reference Master List'!$B:$B,"NOT FOUND")</f>
        <v>Product Support Management for the Adaptive Acquisition  Framework</v>
      </c>
      <c r="C17" s="22" t="s">
        <v>96</v>
      </c>
      <c r="D17" s="23">
        <f>_xlfn.XLOOKUP(A17,'Reference Master List'!$A:$A,'Reference Master List'!$D:$D,"NOT FOUND")</f>
        <v>44504</v>
      </c>
      <c r="E17" s="24" t="s">
        <v>39</v>
      </c>
      <c r="F17" s="24">
        <v>2</v>
      </c>
      <c r="G17" s="33" t="str">
        <f>_xlfn.XLOOKUP(A17,'Reference Master List'!$A:$A,'Reference Master List'!$E:$E,"NOT FOUND")</f>
        <v>https://www.esd.whs.mil/Portals/54/Documents/DD/issuances/dodi/500091p.PDF?ver=qk1slCU3Y0c1acIDocWyJA%3d%3d</v>
      </c>
    </row>
    <row r="18" spans="1:7" ht="45" x14ac:dyDescent="0.25">
      <c r="A18" s="32" t="s">
        <v>0</v>
      </c>
      <c r="B18" s="21" t="str">
        <f>_xlfn.XLOOKUP(A18,'Reference Master List'!$A:$A,'Reference Master List'!$B:$B,"NOT FOUND")</f>
        <v>Product Support Management for the Adaptive Acquisition  Framework</v>
      </c>
      <c r="C18" s="22" t="s">
        <v>97</v>
      </c>
      <c r="D18" s="23">
        <f>_xlfn.XLOOKUP(A18,'Reference Master List'!$A:$A,'Reference Master List'!$D:$D,"NOT FOUND")</f>
        <v>44504</v>
      </c>
      <c r="E18" s="24" t="s">
        <v>39</v>
      </c>
      <c r="F18" s="24">
        <v>2</v>
      </c>
      <c r="G18" s="33" t="str">
        <f>_xlfn.XLOOKUP(A18,'Reference Master List'!$A:$A,'Reference Master List'!$E:$E,"NOT FOUND")</f>
        <v>https://www.esd.whs.mil/Portals/54/Documents/DD/issuances/dodi/500091p.PDF?ver=qk1slCU3Y0c1acIDocWyJA%3d%3d</v>
      </c>
    </row>
    <row r="19" spans="1:7" ht="45" x14ac:dyDescent="0.25">
      <c r="A19" s="32" t="s">
        <v>0</v>
      </c>
      <c r="B19" s="21" t="str">
        <f>_xlfn.XLOOKUP(A19,'Reference Master List'!$A:$A,'Reference Master List'!$B:$B,"NOT FOUND")</f>
        <v>Product Support Management for the Adaptive Acquisition  Framework</v>
      </c>
      <c r="C19" s="22" t="s">
        <v>86</v>
      </c>
      <c r="D19" s="23">
        <f>_xlfn.XLOOKUP(A19,'Reference Master List'!$A:$A,'Reference Master List'!$D:$D,"NOT FOUND")</f>
        <v>44504</v>
      </c>
      <c r="E19" s="24" t="s">
        <v>39</v>
      </c>
      <c r="F19" s="24">
        <v>2</v>
      </c>
      <c r="G19" s="33" t="str">
        <f>_xlfn.XLOOKUP(A19,'Reference Master List'!$A:$A,'Reference Master List'!$E:$E,"NOT FOUND")</f>
        <v>https://www.esd.whs.mil/Portals/54/Documents/DD/issuances/dodi/500091p.PDF?ver=qk1slCU3Y0c1acIDocWyJA%3d%3d</v>
      </c>
    </row>
    <row r="20" spans="1:7" ht="45" x14ac:dyDescent="0.25">
      <c r="A20" s="32" t="s">
        <v>0</v>
      </c>
      <c r="B20" s="21" t="str">
        <f>_xlfn.XLOOKUP(A20,'Reference Master List'!$A:$A,'Reference Master List'!$B:$B,"NOT FOUND")</f>
        <v>Product Support Management for the Adaptive Acquisition  Framework</v>
      </c>
      <c r="C20" s="22" t="s">
        <v>98</v>
      </c>
      <c r="D20" s="23">
        <f>_xlfn.XLOOKUP(A20,'Reference Master List'!$A:$A,'Reference Master List'!$D:$D,"NOT FOUND")</f>
        <v>44504</v>
      </c>
      <c r="E20" s="24" t="s">
        <v>39</v>
      </c>
      <c r="F20" s="24">
        <v>2</v>
      </c>
      <c r="G20" s="33" t="str">
        <f>_xlfn.XLOOKUP(A20,'Reference Master List'!$A:$A,'Reference Master List'!$E:$E,"NOT FOUND")</f>
        <v>https://www.esd.whs.mil/Portals/54/Documents/DD/issuances/dodi/500091p.PDF?ver=qk1slCU3Y0c1acIDocWyJA%3d%3d</v>
      </c>
    </row>
    <row r="21" spans="1:7" ht="45" x14ac:dyDescent="0.25">
      <c r="A21" s="32" t="s">
        <v>0</v>
      </c>
      <c r="B21" s="21" t="str">
        <f>_xlfn.XLOOKUP(A21,'Reference Master List'!$A:$A,'Reference Master List'!$B:$B,"NOT FOUND")</f>
        <v>Product Support Management for the Adaptive Acquisition  Framework</v>
      </c>
      <c r="C21" s="22" t="s">
        <v>99</v>
      </c>
      <c r="D21" s="23">
        <f>_xlfn.XLOOKUP(A21,'Reference Master List'!$A:$A,'Reference Master List'!$D:$D,"NOT FOUND")</f>
        <v>44504</v>
      </c>
      <c r="E21" s="24" t="s">
        <v>39</v>
      </c>
      <c r="F21" s="24">
        <v>2</v>
      </c>
      <c r="G21" s="33" t="str">
        <f>_xlfn.XLOOKUP(A21,'Reference Master List'!$A:$A,'Reference Master List'!$E:$E,"NOT FOUND")</f>
        <v>https://www.esd.whs.mil/Portals/54/Documents/DD/issuances/dodi/500091p.PDF?ver=qk1slCU3Y0c1acIDocWyJA%3d%3d</v>
      </c>
    </row>
    <row r="22" spans="1:7" ht="45" x14ac:dyDescent="0.25">
      <c r="A22" s="32" t="s">
        <v>0</v>
      </c>
      <c r="B22" s="21" t="str">
        <f>_xlfn.XLOOKUP(A22,'Reference Master List'!$A:$A,'Reference Master List'!$B:$B,"NOT FOUND")</f>
        <v>Product Support Management for the Adaptive Acquisition  Framework</v>
      </c>
      <c r="C22" s="22" t="s">
        <v>100</v>
      </c>
      <c r="D22" s="23">
        <f>_xlfn.XLOOKUP(A22,'Reference Master List'!$A:$A,'Reference Master List'!$D:$D,"NOT FOUND")</f>
        <v>44504</v>
      </c>
      <c r="E22" s="24" t="s">
        <v>39</v>
      </c>
      <c r="F22" s="24">
        <v>2</v>
      </c>
      <c r="G22" s="33" t="str">
        <f>_xlfn.XLOOKUP(A22,'Reference Master List'!$A:$A,'Reference Master List'!$E:$E,"NOT FOUND")</f>
        <v>https://www.esd.whs.mil/Portals/54/Documents/DD/issuances/dodi/500091p.PDF?ver=qk1slCU3Y0c1acIDocWyJA%3d%3d</v>
      </c>
    </row>
    <row r="23" spans="1:7" ht="45" x14ac:dyDescent="0.25">
      <c r="A23" s="32" t="s">
        <v>0</v>
      </c>
      <c r="B23" s="21" t="str">
        <f>_xlfn.XLOOKUP(A23,'Reference Master List'!$A:$A,'Reference Master List'!$B:$B,"NOT FOUND")</f>
        <v>Product Support Management for the Adaptive Acquisition  Framework</v>
      </c>
      <c r="C23" s="22" t="s">
        <v>101</v>
      </c>
      <c r="D23" s="23">
        <f>_xlfn.XLOOKUP(A23,'Reference Master List'!$A:$A,'Reference Master List'!$D:$D,"NOT FOUND")</f>
        <v>44504</v>
      </c>
      <c r="E23" s="24" t="s">
        <v>39</v>
      </c>
      <c r="F23" s="24">
        <v>2</v>
      </c>
      <c r="G23" s="33" t="str">
        <f>_xlfn.XLOOKUP(A23,'Reference Master List'!$A:$A,'Reference Master List'!$E:$E,"NOT FOUND")</f>
        <v>https://www.esd.whs.mil/Portals/54/Documents/DD/issuances/dodi/500091p.PDF?ver=qk1slCU3Y0c1acIDocWyJA%3d%3d</v>
      </c>
    </row>
    <row r="24" spans="1:7" ht="45" x14ac:dyDescent="0.25">
      <c r="A24" s="32" t="s">
        <v>0</v>
      </c>
      <c r="B24" s="21" t="str">
        <f>_xlfn.XLOOKUP(A24,'Reference Master List'!$A:$A,'Reference Master List'!$B:$B,"NOT FOUND")</f>
        <v>Product Support Management for the Adaptive Acquisition  Framework</v>
      </c>
      <c r="C24" s="22" t="s">
        <v>102</v>
      </c>
      <c r="D24" s="23">
        <f>_xlfn.XLOOKUP(A24,'Reference Master List'!$A:$A,'Reference Master List'!$D:$D,"NOT FOUND")</f>
        <v>44504</v>
      </c>
      <c r="E24" s="24" t="s">
        <v>39</v>
      </c>
      <c r="F24" s="24">
        <v>2</v>
      </c>
      <c r="G24" s="33" t="str">
        <f>_xlfn.XLOOKUP(A24,'Reference Master List'!$A:$A,'Reference Master List'!$E:$E,"NOT FOUND")</f>
        <v>https://www.esd.whs.mil/Portals/54/Documents/DD/issuances/dodi/500091p.PDF?ver=qk1slCU3Y0c1acIDocWyJA%3d%3d</v>
      </c>
    </row>
    <row r="25" spans="1:7" ht="45" x14ac:dyDescent="0.25">
      <c r="A25" s="32" t="s">
        <v>0</v>
      </c>
      <c r="B25" s="21" t="str">
        <f>_xlfn.XLOOKUP(A25,'Reference Master List'!$A:$A,'Reference Master List'!$B:$B,"NOT FOUND")</f>
        <v>Product Support Management for the Adaptive Acquisition  Framework</v>
      </c>
      <c r="C25" s="22" t="s">
        <v>103</v>
      </c>
      <c r="D25" s="23">
        <f>_xlfn.XLOOKUP(A25,'Reference Master List'!$A:$A,'Reference Master List'!$D:$D,"NOT FOUND")</f>
        <v>44504</v>
      </c>
      <c r="E25" s="24" t="s">
        <v>39</v>
      </c>
      <c r="F25" s="24">
        <v>2</v>
      </c>
      <c r="G25" s="33" t="str">
        <f>_xlfn.XLOOKUP(A25,'Reference Master List'!$A:$A,'Reference Master List'!$E:$E,"NOT FOUND")</f>
        <v>https://www.esd.whs.mil/Portals/54/Documents/DD/issuances/dodi/500091p.PDF?ver=qk1slCU3Y0c1acIDocWyJA%3d%3d</v>
      </c>
    </row>
    <row r="26" spans="1:7" ht="45" x14ac:dyDescent="0.25">
      <c r="A26" s="32" t="s">
        <v>0</v>
      </c>
      <c r="B26" s="21" t="str">
        <f>_xlfn.XLOOKUP(A26,'Reference Master List'!$A:$A,'Reference Master List'!$B:$B,"NOT FOUND")</f>
        <v>Product Support Management for the Adaptive Acquisition  Framework</v>
      </c>
      <c r="C26" s="22" t="s">
        <v>86</v>
      </c>
      <c r="D26" s="23">
        <f>_xlfn.XLOOKUP(A26,'Reference Master List'!$A:$A,'Reference Master List'!$D:$D,"NOT FOUND")</f>
        <v>44504</v>
      </c>
      <c r="E26" s="24" t="s">
        <v>39</v>
      </c>
      <c r="F26" s="24">
        <v>3</v>
      </c>
      <c r="G26" s="33" t="str">
        <f>_xlfn.XLOOKUP(A26,'Reference Master List'!$A:$A,'Reference Master List'!$E:$E,"NOT FOUND")</f>
        <v>https://www.esd.whs.mil/Portals/54/Documents/DD/issuances/dodi/500091p.PDF?ver=qk1slCU3Y0c1acIDocWyJA%3d%3d</v>
      </c>
    </row>
    <row r="27" spans="1:7" ht="45" x14ac:dyDescent="0.25">
      <c r="A27" s="32" t="s">
        <v>0</v>
      </c>
      <c r="B27" s="21" t="str">
        <f>_xlfn.XLOOKUP(A27,'Reference Master List'!$A:$A,'Reference Master List'!$B:$B,"NOT FOUND")</f>
        <v>Product Support Management for the Adaptive Acquisition  Framework</v>
      </c>
      <c r="C27" s="22" t="s">
        <v>104</v>
      </c>
      <c r="D27" s="23">
        <f>_xlfn.XLOOKUP(A27,'Reference Master List'!$A:$A,'Reference Master List'!$D:$D,"NOT FOUND")</f>
        <v>44504</v>
      </c>
      <c r="E27" s="24" t="s">
        <v>39</v>
      </c>
      <c r="F27" s="24">
        <v>3</v>
      </c>
      <c r="G27" s="33" t="str">
        <f>_xlfn.XLOOKUP(A27,'Reference Master List'!$A:$A,'Reference Master List'!$E:$E,"NOT FOUND")</f>
        <v>https://www.esd.whs.mil/Portals/54/Documents/DD/issuances/dodi/500091p.PDF?ver=qk1slCU3Y0c1acIDocWyJA%3d%3d</v>
      </c>
    </row>
    <row r="28" spans="1:7" ht="45" x14ac:dyDescent="0.25">
      <c r="A28" s="32" t="s">
        <v>0</v>
      </c>
      <c r="B28" s="21" t="str">
        <f>_xlfn.XLOOKUP(A28,'Reference Master List'!$A:$A,'Reference Master List'!$B:$B,"NOT FOUND")</f>
        <v>Product Support Management for the Adaptive Acquisition  Framework</v>
      </c>
      <c r="C28" s="22" t="s">
        <v>105</v>
      </c>
      <c r="D28" s="23">
        <f>_xlfn.XLOOKUP(A28,'Reference Master List'!$A:$A,'Reference Master List'!$D:$D,"NOT FOUND")</f>
        <v>44504</v>
      </c>
      <c r="E28" s="24" t="s">
        <v>39</v>
      </c>
      <c r="F28" s="24">
        <v>3.1</v>
      </c>
      <c r="G28" s="33" t="str">
        <f>_xlfn.XLOOKUP(A28,'Reference Master List'!$A:$A,'Reference Master List'!$E:$E,"NOT FOUND")</f>
        <v>https://www.esd.whs.mil/Portals/54/Documents/DD/issuances/dodi/500091p.PDF?ver=qk1slCU3Y0c1acIDocWyJA%3d%3d</v>
      </c>
    </row>
    <row r="29" spans="1:7" ht="45" x14ac:dyDescent="0.25">
      <c r="A29" s="32" t="s">
        <v>0</v>
      </c>
      <c r="B29" s="21" t="str">
        <f>_xlfn.XLOOKUP(A29,'Reference Master List'!$A:$A,'Reference Master List'!$B:$B,"NOT FOUND")</f>
        <v>Product Support Management for the Adaptive Acquisition  Framework</v>
      </c>
      <c r="C29" s="22" t="s">
        <v>86</v>
      </c>
      <c r="D29" s="23">
        <f>_xlfn.XLOOKUP(A29,'Reference Master List'!$A:$A,'Reference Master List'!$D:$D,"NOT FOUND")</f>
        <v>44504</v>
      </c>
      <c r="E29" s="24" t="s">
        <v>39</v>
      </c>
      <c r="F29" s="24">
        <v>3.1</v>
      </c>
      <c r="G29" s="33" t="str">
        <f>_xlfn.XLOOKUP(A29,'Reference Master List'!$A:$A,'Reference Master List'!$E:$E,"NOT FOUND")</f>
        <v>https://www.esd.whs.mil/Portals/54/Documents/DD/issuances/dodi/500091p.PDF?ver=qk1slCU3Y0c1acIDocWyJA%3d%3d</v>
      </c>
    </row>
    <row r="30" spans="1:7" ht="45" x14ac:dyDescent="0.25">
      <c r="A30" s="32" t="s">
        <v>0</v>
      </c>
      <c r="B30" s="21" t="str">
        <f>_xlfn.XLOOKUP(A30,'Reference Master List'!$A:$A,'Reference Master List'!$B:$B,"NOT FOUND")</f>
        <v>Product Support Management for the Adaptive Acquisition  Framework</v>
      </c>
      <c r="C30" s="22" t="s">
        <v>103</v>
      </c>
      <c r="D30" s="23">
        <f>_xlfn.XLOOKUP(A30,'Reference Master List'!$A:$A,'Reference Master List'!$D:$D,"NOT FOUND")</f>
        <v>44504</v>
      </c>
      <c r="E30" s="24" t="s">
        <v>39</v>
      </c>
      <c r="F30" s="24">
        <v>3.1</v>
      </c>
      <c r="G30" s="33" t="str">
        <f>_xlfn.XLOOKUP(A30,'Reference Master List'!$A:$A,'Reference Master List'!$E:$E,"NOT FOUND")</f>
        <v>https://www.esd.whs.mil/Portals/54/Documents/DD/issuances/dodi/500091p.PDF?ver=qk1slCU3Y0c1acIDocWyJA%3d%3d</v>
      </c>
    </row>
    <row r="31" spans="1:7" ht="45" x14ac:dyDescent="0.25">
      <c r="A31" s="32" t="s">
        <v>0</v>
      </c>
      <c r="B31" s="21" t="str">
        <f>_xlfn.XLOOKUP(A31,'Reference Master List'!$A:$A,'Reference Master List'!$B:$B,"NOT FOUND")</f>
        <v>Product Support Management for the Adaptive Acquisition  Framework</v>
      </c>
      <c r="C31" s="22">
        <v>4.8</v>
      </c>
      <c r="D31" s="23">
        <f>_xlfn.XLOOKUP(A31,'Reference Master List'!$A:$A,'Reference Master List'!$D:$D,"NOT FOUND")</f>
        <v>44504</v>
      </c>
      <c r="E31" s="24" t="s">
        <v>39</v>
      </c>
      <c r="F31" s="24">
        <v>3.2</v>
      </c>
      <c r="G31" s="33" t="str">
        <f>_xlfn.XLOOKUP(A31,'Reference Master List'!$A:$A,'Reference Master List'!$E:$E,"NOT FOUND")</f>
        <v>https://www.esd.whs.mil/Portals/54/Documents/DD/issuances/dodi/500091p.PDF?ver=qk1slCU3Y0c1acIDocWyJA%3d%3d</v>
      </c>
    </row>
    <row r="32" spans="1:7" ht="45" x14ac:dyDescent="0.25">
      <c r="A32" s="32" t="s">
        <v>0</v>
      </c>
      <c r="B32" s="21" t="str">
        <f>_xlfn.XLOOKUP(A32,'Reference Master List'!$A:$A,'Reference Master List'!$B:$B,"NOT FOUND")</f>
        <v>Product Support Management for the Adaptive Acquisition  Framework</v>
      </c>
      <c r="C32" s="22" t="s">
        <v>106</v>
      </c>
      <c r="D32" s="23">
        <f>_xlfn.XLOOKUP(A32,'Reference Master List'!$A:$A,'Reference Master List'!$D:$D,"NOT FOUND")</f>
        <v>44504</v>
      </c>
      <c r="E32" s="24" t="s">
        <v>39</v>
      </c>
      <c r="F32" s="24">
        <v>3.2</v>
      </c>
      <c r="G32" s="33" t="str">
        <f>_xlfn.XLOOKUP(A32,'Reference Master List'!$A:$A,'Reference Master List'!$E:$E,"NOT FOUND")</f>
        <v>https://www.esd.whs.mil/Portals/54/Documents/DD/issuances/dodi/500091p.PDF?ver=qk1slCU3Y0c1acIDocWyJA%3d%3d</v>
      </c>
    </row>
    <row r="33" spans="1:7" ht="45" x14ac:dyDescent="0.25">
      <c r="A33" s="32" t="s">
        <v>0</v>
      </c>
      <c r="B33" s="21" t="str">
        <f>_xlfn.XLOOKUP(A33,'Reference Master List'!$A:$A,'Reference Master List'!$B:$B,"NOT FOUND")</f>
        <v>Product Support Management for the Adaptive Acquisition  Framework</v>
      </c>
      <c r="C33" s="22" t="s">
        <v>107</v>
      </c>
      <c r="D33" s="23">
        <f>_xlfn.XLOOKUP(A33,'Reference Master List'!$A:$A,'Reference Master List'!$D:$D,"NOT FOUND")</f>
        <v>44504</v>
      </c>
      <c r="E33" s="24" t="s">
        <v>39</v>
      </c>
      <c r="F33" s="24">
        <v>3.2</v>
      </c>
      <c r="G33" s="33" t="str">
        <f>_xlfn.XLOOKUP(A33,'Reference Master List'!$A:$A,'Reference Master List'!$E:$E,"NOT FOUND")</f>
        <v>https://www.esd.whs.mil/Portals/54/Documents/DD/issuances/dodi/500091p.PDF?ver=qk1slCU3Y0c1acIDocWyJA%3d%3d</v>
      </c>
    </row>
    <row r="34" spans="1:7" ht="45" x14ac:dyDescent="0.25">
      <c r="A34" s="32" t="s">
        <v>0</v>
      </c>
      <c r="B34" s="21" t="str">
        <f>_xlfn.XLOOKUP(A34,'Reference Master List'!$A:$A,'Reference Master List'!$B:$B,"NOT FOUND")</f>
        <v>Product Support Management for the Adaptive Acquisition  Framework</v>
      </c>
      <c r="C34" s="22" t="s">
        <v>108</v>
      </c>
      <c r="D34" s="23">
        <f>_xlfn.XLOOKUP(A34,'Reference Master List'!$A:$A,'Reference Master List'!$D:$D,"NOT FOUND")</f>
        <v>44504</v>
      </c>
      <c r="E34" s="24" t="s">
        <v>39</v>
      </c>
      <c r="F34" s="24">
        <v>3.2</v>
      </c>
      <c r="G34" s="33" t="str">
        <f>_xlfn.XLOOKUP(A34,'Reference Master List'!$A:$A,'Reference Master List'!$E:$E,"NOT FOUND")</f>
        <v>https://www.esd.whs.mil/Portals/54/Documents/DD/issuances/dodi/500091p.PDF?ver=qk1slCU3Y0c1acIDocWyJA%3d%3d</v>
      </c>
    </row>
    <row r="35" spans="1:7" ht="45" x14ac:dyDescent="0.25">
      <c r="A35" s="32" t="s">
        <v>0</v>
      </c>
      <c r="B35" s="21" t="str">
        <f>_xlfn.XLOOKUP(A35,'Reference Master List'!$A:$A,'Reference Master List'!$B:$B,"NOT FOUND")</f>
        <v>Product Support Management for the Adaptive Acquisition  Framework</v>
      </c>
      <c r="C35" s="22" t="s">
        <v>109</v>
      </c>
      <c r="D35" s="23">
        <f>_xlfn.XLOOKUP(A35,'Reference Master List'!$A:$A,'Reference Master List'!$D:$D,"NOT FOUND")</f>
        <v>44504</v>
      </c>
      <c r="E35" s="24" t="s">
        <v>39</v>
      </c>
      <c r="F35" s="24">
        <v>3.3</v>
      </c>
      <c r="G35" s="33" t="str">
        <f>_xlfn.XLOOKUP(A35,'Reference Master List'!$A:$A,'Reference Master List'!$E:$E,"NOT FOUND")</f>
        <v>https://www.esd.whs.mil/Portals/54/Documents/DD/issuances/dodi/500091p.PDF?ver=qk1slCU3Y0c1acIDocWyJA%3d%3d</v>
      </c>
    </row>
    <row r="36" spans="1:7" ht="45" x14ac:dyDescent="0.25">
      <c r="A36" s="32" t="s">
        <v>0</v>
      </c>
      <c r="B36" s="21" t="str">
        <f>_xlfn.XLOOKUP(A36,'Reference Master List'!$A:$A,'Reference Master List'!$B:$B,"NOT FOUND")</f>
        <v>Product Support Management for the Adaptive Acquisition  Framework</v>
      </c>
      <c r="C36" s="22" t="s">
        <v>109</v>
      </c>
      <c r="D36" s="23">
        <f>_xlfn.XLOOKUP(A36,'Reference Master List'!$A:$A,'Reference Master List'!$D:$D,"NOT FOUND")</f>
        <v>44504</v>
      </c>
      <c r="E36" s="24" t="s">
        <v>39</v>
      </c>
      <c r="F36" s="24">
        <v>3.3</v>
      </c>
      <c r="G36" s="33" t="str">
        <f>_xlfn.XLOOKUP(A36,'Reference Master List'!$A:$A,'Reference Master List'!$E:$E,"NOT FOUND")</f>
        <v>https://www.esd.whs.mil/Portals/54/Documents/DD/issuances/dodi/500091p.PDF?ver=qk1slCU3Y0c1acIDocWyJA%3d%3d</v>
      </c>
    </row>
    <row r="37" spans="1:7" ht="45" x14ac:dyDescent="0.25">
      <c r="A37" s="32" t="s">
        <v>0</v>
      </c>
      <c r="B37" s="21" t="str">
        <f>_xlfn.XLOOKUP(A37,'Reference Master List'!$A:$A,'Reference Master List'!$B:$B,"NOT FOUND")</f>
        <v>Product Support Management for the Adaptive Acquisition  Framework</v>
      </c>
      <c r="C37" s="22" t="s">
        <v>110</v>
      </c>
      <c r="D37" s="23">
        <f>_xlfn.XLOOKUP(A37,'Reference Master List'!$A:$A,'Reference Master List'!$D:$D,"NOT FOUND")</f>
        <v>44504</v>
      </c>
      <c r="E37" s="24" t="s">
        <v>39</v>
      </c>
      <c r="F37" s="24">
        <v>3.3</v>
      </c>
      <c r="G37" s="33" t="str">
        <f>_xlfn.XLOOKUP(A37,'Reference Master List'!$A:$A,'Reference Master List'!$E:$E,"NOT FOUND")</f>
        <v>https://www.esd.whs.mil/Portals/54/Documents/DD/issuances/dodi/500091p.PDF?ver=qk1slCU3Y0c1acIDocWyJA%3d%3d</v>
      </c>
    </row>
    <row r="38" spans="1:7" ht="45" x14ac:dyDescent="0.25">
      <c r="A38" s="32" t="s">
        <v>0</v>
      </c>
      <c r="B38" s="21" t="str">
        <f>_xlfn.XLOOKUP(A38,'Reference Master List'!$A:$A,'Reference Master List'!$B:$B,"NOT FOUND")</f>
        <v>Product Support Management for the Adaptive Acquisition  Framework</v>
      </c>
      <c r="C38" s="22" t="s">
        <v>111</v>
      </c>
      <c r="D38" s="23">
        <f>_xlfn.XLOOKUP(A38,'Reference Master List'!$A:$A,'Reference Master List'!$D:$D,"NOT FOUND")</f>
        <v>44504</v>
      </c>
      <c r="E38" s="24" t="s">
        <v>39</v>
      </c>
      <c r="F38" s="24">
        <v>3.3</v>
      </c>
      <c r="G38" s="33" t="str">
        <f>_xlfn.XLOOKUP(A38,'Reference Master List'!$A:$A,'Reference Master List'!$E:$E,"NOT FOUND")</f>
        <v>https://www.esd.whs.mil/Portals/54/Documents/DD/issuances/dodi/500091p.PDF?ver=qk1slCU3Y0c1acIDocWyJA%3d%3d</v>
      </c>
    </row>
    <row r="39" spans="1:7" ht="30" x14ac:dyDescent="0.25">
      <c r="A39" s="32" t="s">
        <v>1</v>
      </c>
      <c r="B39" s="21" t="str">
        <f>_xlfn.XLOOKUP(A39,'Reference Master List'!$A:$A,'Reference Master List'!$B:$B,"NOT FOUND")</f>
        <v>Operation of the Middle Tier of Acquisition (MTA)</v>
      </c>
      <c r="C39" s="22" t="s">
        <v>92</v>
      </c>
      <c r="D39" s="23">
        <f>_xlfn.XLOOKUP(A39,'Reference Master List'!$A:$A,'Reference Master List'!$D:$D,"NOT FOUND")</f>
        <v>45621</v>
      </c>
      <c r="E39" s="24" t="s">
        <v>39</v>
      </c>
      <c r="F39" s="24">
        <v>4</v>
      </c>
      <c r="G39" s="33" t="str">
        <f>_xlfn.XLOOKUP(A39,'Reference Master List'!$A:$A,'Reference Master List'!$E:$E,"NOT FOUND")</f>
        <v>https://www.esd.whs.mil/Portals/54/Documents/DD/issuances/dodi/500080p.PDF?ver=QsDA5aJ20jnMMxhx1z5mJQ%3d%3d</v>
      </c>
    </row>
    <row r="40" spans="1:7" x14ac:dyDescent="0.25">
      <c r="A40" s="32" t="s">
        <v>4</v>
      </c>
      <c r="B40" s="21" t="str">
        <f>_xlfn.XLOOKUP(A40,'Reference Master List'!$A:$A,'Reference Master List'!$B:$B,"NOT FOUND")</f>
        <v>Engineering of Defense Systems</v>
      </c>
      <c r="C40" s="22" t="s">
        <v>112</v>
      </c>
      <c r="D40" s="23">
        <f>_xlfn.XLOOKUP(A40,'Reference Master List'!$A:$A,'Reference Master List'!$D:$D,"NOT FOUND")</f>
        <v>44153</v>
      </c>
      <c r="E40" s="24" t="s">
        <v>39</v>
      </c>
      <c r="F40" s="24">
        <v>4.0999999999999996</v>
      </c>
      <c r="G40" s="33" t="str">
        <f>_xlfn.XLOOKUP(A40,'Reference Master List'!$A:$A,'Reference Master List'!$E:$E,"NOT FOUND")</f>
        <v>https://www.esd.whs.mil/Portals/54/Documents/DD/issuances/dodi/500088p.PDF?ver=O8LFc8NzlyJX-SgM2Haalw%3d%3d</v>
      </c>
    </row>
    <row r="41" spans="1:7" ht="30" x14ac:dyDescent="0.25">
      <c r="A41" s="32" t="s">
        <v>5</v>
      </c>
      <c r="B41" s="21" t="str">
        <f>_xlfn.XLOOKUP(A41,'Reference Master List'!$A:$A,'Reference Master List'!$B:$B,"NOT FOUND")</f>
        <v>DoD Supply Chain Materiel Management Policy</v>
      </c>
      <c r="C41" s="22" t="s">
        <v>95</v>
      </c>
      <c r="D41" s="23">
        <f>_xlfn.XLOOKUP(A41,'Reference Master List'!$A:$A,'Reference Master List'!$D:$D,"NOT FOUND")</f>
        <v>43530</v>
      </c>
      <c r="E41" s="24" t="s">
        <v>39</v>
      </c>
      <c r="F41" s="24">
        <v>4.2</v>
      </c>
      <c r="G41" s="33" t="str">
        <f>_xlfn.XLOOKUP(A41,'Reference Master List'!$A:$A,'Reference Master List'!$E:$E,"NOT FOUND")</f>
        <v>https://www.esd.whs.mil/Portals/54/Documents/DD/issuances/dodi/414001p.PDF?ver=x3uRuJnmOdRqFqi2XkEYrQ%3d%3d</v>
      </c>
    </row>
    <row r="42" spans="1:7" ht="45" x14ac:dyDescent="0.25">
      <c r="A42" s="32" t="s">
        <v>6</v>
      </c>
      <c r="B42" s="21" t="str">
        <f>_xlfn.XLOOKUP(A42,'Reference Master List'!$A:$A,'Reference Master List'!$B:$B,"NOT FOUND")</f>
        <v>Prevention and Mitigation of Corrosion on DoD Military Equipment and Infrastructure</v>
      </c>
      <c r="C42" s="22" t="s">
        <v>113</v>
      </c>
      <c r="D42" s="23">
        <f>_xlfn.XLOOKUP(A42,'Reference Master List'!$A:$A,'Reference Master List'!$D:$D,"NOT FOUND")</f>
        <v>43343</v>
      </c>
      <c r="E42" s="24" t="s">
        <v>39</v>
      </c>
      <c r="F42" s="24">
        <v>4.2</v>
      </c>
      <c r="G42" s="33" t="str">
        <f>_xlfn.XLOOKUP(A42,'Reference Master List'!$A:$A,'Reference Master List'!$E:$E,"NOT FOUND")</f>
        <v>https://www.esd.whs.mil/Portals/54/Documents/DD/issuances/dodi/500067p.pdf?ver=2019-03-07-133844-480</v>
      </c>
    </row>
    <row r="43" spans="1:7" ht="45" x14ac:dyDescent="0.25">
      <c r="A43" s="32" t="s">
        <v>6</v>
      </c>
      <c r="B43" s="21" t="str">
        <f>_xlfn.XLOOKUP(A43,'Reference Master List'!$A:$A,'Reference Master List'!$B:$B,"NOT FOUND")</f>
        <v>Prevention and Mitigation of Corrosion on DoD Military Equipment and Infrastructure</v>
      </c>
      <c r="C43" s="22" t="s">
        <v>114</v>
      </c>
      <c r="D43" s="23">
        <f>_xlfn.XLOOKUP(A43,'Reference Master List'!$A:$A,'Reference Master List'!$D:$D,"NOT FOUND")</f>
        <v>43343</v>
      </c>
      <c r="E43" s="24" t="s">
        <v>39</v>
      </c>
      <c r="F43" s="24">
        <v>4.2</v>
      </c>
      <c r="G43" s="33" t="str">
        <f>_xlfn.XLOOKUP(A43,'Reference Master List'!$A:$A,'Reference Master List'!$E:$E,"NOT FOUND")</f>
        <v>https://www.esd.whs.mil/Portals/54/Documents/DD/issuances/dodi/500067p.pdf?ver=2019-03-07-133844-480</v>
      </c>
    </row>
    <row r="44" spans="1:7" ht="45" x14ac:dyDescent="0.25">
      <c r="A44" s="32" t="s">
        <v>6</v>
      </c>
      <c r="B44" s="21" t="str">
        <f>_xlfn.XLOOKUP(A44,'Reference Master List'!$A:$A,'Reference Master List'!$B:$B,"NOT FOUND")</f>
        <v>Prevention and Mitigation of Corrosion on DoD Military Equipment and Infrastructure</v>
      </c>
      <c r="C44" s="22" t="s">
        <v>115</v>
      </c>
      <c r="D44" s="23">
        <f>_xlfn.XLOOKUP(A44,'Reference Master List'!$A:$A,'Reference Master List'!$D:$D,"NOT FOUND")</f>
        <v>43343</v>
      </c>
      <c r="E44" s="24" t="s">
        <v>39</v>
      </c>
      <c r="F44" s="24">
        <v>4.2</v>
      </c>
      <c r="G44" s="33" t="str">
        <f>_xlfn.XLOOKUP(A44,'Reference Master List'!$A:$A,'Reference Master List'!$E:$E,"NOT FOUND")</f>
        <v>https://www.esd.whs.mil/Portals/54/Documents/DD/issuances/dodi/500067p.pdf?ver=2019-03-07-133844-480</v>
      </c>
    </row>
    <row r="45" spans="1:7" x14ac:dyDescent="0.25">
      <c r="A45" s="32" t="s">
        <v>4</v>
      </c>
      <c r="B45" s="21" t="str">
        <f>_xlfn.XLOOKUP(A45,'Reference Master List'!$A:$A,'Reference Master List'!$B:$B,"NOT FOUND")</f>
        <v>Engineering of Defense Systems</v>
      </c>
      <c r="C45" s="22" t="s">
        <v>116</v>
      </c>
      <c r="D45" s="23">
        <f>_xlfn.XLOOKUP(A45,'Reference Master List'!$A:$A,'Reference Master List'!$D:$D,"NOT FOUND")</f>
        <v>44153</v>
      </c>
      <c r="E45" s="24" t="s">
        <v>39</v>
      </c>
      <c r="F45" s="24">
        <v>4.4000000000000004</v>
      </c>
      <c r="G45" s="33" t="str">
        <f>_xlfn.XLOOKUP(A45,'Reference Master List'!$A:$A,'Reference Master List'!$E:$E,"NOT FOUND")</f>
        <v>https://www.esd.whs.mil/Portals/54/Documents/DD/issuances/dodi/500088p.PDF?ver=O8LFc8NzlyJX-SgM2Haalw%3d%3d</v>
      </c>
    </row>
    <row r="46" spans="1:7" x14ac:dyDescent="0.25">
      <c r="A46" s="32" t="s">
        <v>4</v>
      </c>
      <c r="B46" s="21" t="str">
        <f>_xlfn.XLOOKUP(A46,'Reference Master List'!$A:$A,'Reference Master List'!$B:$B,"NOT FOUND")</f>
        <v>Engineering of Defense Systems</v>
      </c>
      <c r="C46" s="22" t="s">
        <v>117</v>
      </c>
      <c r="D46" s="23">
        <f>_xlfn.XLOOKUP(A46,'Reference Master List'!$A:$A,'Reference Master List'!$D:$D,"NOT FOUND")</f>
        <v>44153</v>
      </c>
      <c r="E46" s="24" t="s">
        <v>39</v>
      </c>
      <c r="F46" s="24">
        <v>4.4000000000000004</v>
      </c>
      <c r="G46" s="33" t="str">
        <f>_xlfn.XLOOKUP(A46,'Reference Master List'!$A:$A,'Reference Master List'!$E:$E,"NOT FOUND")</f>
        <v>https://www.esd.whs.mil/Portals/54/Documents/DD/issuances/dodi/500088p.PDF?ver=O8LFc8NzlyJX-SgM2Haalw%3d%3d</v>
      </c>
    </row>
    <row r="47" spans="1:7" x14ac:dyDescent="0.25">
      <c r="A47" s="32" t="s">
        <v>4</v>
      </c>
      <c r="B47" s="21" t="str">
        <f>_xlfn.XLOOKUP(A47,'Reference Master List'!$A:$A,'Reference Master List'!$B:$B,"NOT FOUND")</f>
        <v>Engineering of Defense Systems</v>
      </c>
      <c r="C47" s="22" t="s">
        <v>118</v>
      </c>
      <c r="D47" s="23">
        <f>_xlfn.XLOOKUP(A47,'Reference Master List'!$A:$A,'Reference Master List'!$D:$D,"NOT FOUND")</f>
        <v>44153</v>
      </c>
      <c r="E47" s="24" t="s">
        <v>39</v>
      </c>
      <c r="F47" s="24">
        <v>4.4000000000000004</v>
      </c>
      <c r="G47" s="33" t="str">
        <f>_xlfn.XLOOKUP(A47,'Reference Master List'!$A:$A,'Reference Master List'!$E:$E,"NOT FOUND")</f>
        <v>https://www.esd.whs.mil/Portals/54/Documents/DD/issuances/dodi/500088p.PDF?ver=O8LFc8NzlyJX-SgM2Haalw%3d%3d</v>
      </c>
    </row>
    <row r="48" spans="1:7" x14ac:dyDescent="0.25">
      <c r="A48" s="32" t="s">
        <v>4</v>
      </c>
      <c r="B48" s="21" t="str">
        <f>_xlfn.XLOOKUP(A48,'Reference Master List'!$A:$A,'Reference Master List'!$B:$B,"NOT FOUND")</f>
        <v>Engineering of Defense Systems</v>
      </c>
      <c r="C48" s="22" t="s">
        <v>95</v>
      </c>
      <c r="D48" s="23">
        <f>_xlfn.XLOOKUP(A48,'Reference Master List'!$A:$A,'Reference Master List'!$D:$D,"NOT FOUND")</f>
        <v>44153</v>
      </c>
      <c r="E48" s="24" t="s">
        <v>39</v>
      </c>
      <c r="F48" s="24">
        <v>4.4000000000000004</v>
      </c>
      <c r="G48" s="33" t="str">
        <f>_xlfn.XLOOKUP(A48,'Reference Master List'!$A:$A,'Reference Master List'!$E:$E,"NOT FOUND")</f>
        <v>https://www.esd.whs.mil/Portals/54/Documents/DD/issuances/dodi/500088p.PDF?ver=O8LFc8NzlyJX-SgM2Haalw%3d%3d</v>
      </c>
    </row>
    <row r="49" spans="1:7" ht="45" x14ac:dyDescent="0.25">
      <c r="A49" s="32" t="s">
        <v>0</v>
      </c>
      <c r="B49" s="21" t="str">
        <f>_xlfn.XLOOKUP(A49,'Reference Master List'!$A:$A,'Reference Master List'!$B:$B,"NOT FOUND")</f>
        <v>Product Support Management for the Adaptive Acquisition  Framework</v>
      </c>
      <c r="C49" s="22">
        <v>4.4000000000000004</v>
      </c>
      <c r="D49" s="23">
        <f>_xlfn.XLOOKUP(A49,'Reference Master List'!$A:$A,'Reference Master List'!$D:$D,"NOT FOUND")</f>
        <v>44504</v>
      </c>
      <c r="E49" s="24" t="s">
        <v>39</v>
      </c>
      <c r="F49" s="24" t="s">
        <v>119</v>
      </c>
      <c r="G49" s="33" t="str">
        <f>_xlfn.XLOOKUP(A49,'Reference Master List'!$A:$A,'Reference Master List'!$E:$E,"NOT FOUND")</f>
        <v>https://www.esd.whs.mil/Portals/54/Documents/DD/issuances/dodi/500091p.PDF?ver=qk1slCU3Y0c1acIDocWyJA%3d%3d</v>
      </c>
    </row>
    <row r="50" spans="1:7" ht="45" x14ac:dyDescent="0.25">
      <c r="A50" s="32" t="s">
        <v>0</v>
      </c>
      <c r="B50" s="21" t="str">
        <f>_xlfn.XLOOKUP(A50,'Reference Master List'!$A:$A,'Reference Master List'!$B:$B,"NOT FOUND")</f>
        <v>Product Support Management for the Adaptive Acquisition  Framework</v>
      </c>
      <c r="C50" s="22">
        <v>4.4000000000000004</v>
      </c>
      <c r="D50" s="23">
        <f>_xlfn.XLOOKUP(A50,'Reference Master List'!$A:$A,'Reference Master List'!$D:$D,"NOT FOUND")</f>
        <v>44504</v>
      </c>
      <c r="E50" s="24" t="s">
        <v>39</v>
      </c>
      <c r="F50" s="24" t="s">
        <v>120</v>
      </c>
      <c r="G50" s="33" t="str">
        <f>_xlfn.XLOOKUP(A50,'Reference Master List'!$A:$A,'Reference Master List'!$E:$E,"NOT FOUND")</f>
        <v>https://www.esd.whs.mil/Portals/54/Documents/DD/issuances/dodi/500091p.PDF?ver=qk1slCU3Y0c1acIDocWyJA%3d%3d</v>
      </c>
    </row>
    <row r="51" spans="1:7" ht="45" x14ac:dyDescent="0.25">
      <c r="A51" s="32" t="s">
        <v>0</v>
      </c>
      <c r="B51" s="21" t="str">
        <f>_xlfn.XLOOKUP(A51,'Reference Master List'!$A:$A,'Reference Master List'!$B:$B,"NOT FOUND")</f>
        <v>Product Support Management for the Adaptive Acquisition  Framework</v>
      </c>
      <c r="C51" s="22" t="s">
        <v>121</v>
      </c>
      <c r="D51" s="23">
        <f>_xlfn.XLOOKUP(A51,'Reference Master List'!$A:$A,'Reference Master List'!$D:$D,"NOT FOUND")</f>
        <v>44504</v>
      </c>
      <c r="E51" s="24" t="s">
        <v>39</v>
      </c>
      <c r="F51" s="24" t="s">
        <v>120</v>
      </c>
      <c r="G51" s="33" t="str">
        <f>_xlfn.XLOOKUP(A51,'Reference Master List'!$A:$A,'Reference Master List'!$E:$E,"NOT FOUND")</f>
        <v>https://www.esd.whs.mil/Portals/54/Documents/DD/issuances/dodi/500091p.PDF?ver=qk1slCU3Y0c1acIDocWyJA%3d%3d</v>
      </c>
    </row>
    <row r="52" spans="1:7" x14ac:dyDescent="0.25">
      <c r="A52" s="32" t="s">
        <v>4</v>
      </c>
      <c r="B52" s="21" t="str">
        <f>_xlfn.XLOOKUP(A52,'Reference Master List'!$A:$A,'Reference Master List'!$B:$B,"NOT FOUND")</f>
        <v>Engineering of Defense Systems</v>
      </c>
      <c r="C52" s="22" t="s">
        <v>116</v>
      </c>
      <c r="D52" s="23">
        <f>_xlfn.XLOOKUP(A52,'Reference Master List'!$A:$A,'Reference Master List'!$D:$D,"NOT FOUND")</f>
        <v>44153</v>
      </c>
      <c r="E52" s="24" t="s">
        <v>39</v>
      </c>
      <c r="F52" s="24" t="s">
        <v>122</v>
      </c>
      <c r="G52" s="33" t="str">
        <f>_xlfn.XLOOKUP(A52,'Reference Master List'!$A:$A,'Reference Master List'!$E:$E,"NOT FOUND")</f>
        <v>https://www.esd.whs.mil/Portals/54/Documents/DD/issuances/dodi/500088p.PDF?ver=O8LFc8NzlyJX-SgM2Haalw%3d%3d</v>
      </c>
    </row>
    <row r="53" spans="1:7" x14ac:dyDescent="0.25">
      <c r="A53" s="32" t="s">
        <v>314</v>
      </c>
      <c r="B53" s="21" t="str">
        <f>_xlfn.XLOOKUP(A53,'Reference Master List'!$A:$A,'Reference Master List'!$B:$B,"NOT FOUND")</f>
        <v>The Defense Acquisition System</v>
      </c>
      <c r="C53" s="22" t="s">
        <v>123</v>
      </c>
      <c r="D53" s="23">
        <f>_xlfn.XLOOKUP(A53,'Reference Master List'!$A:$A,'Reference Master List'!$D:$D,"NOT FOUND")</f>
        <v>44770</v>
      </c>
      <c r="E53" s="24" t="s">
        <v>39</v>
      </c>
      <c r="F53" s="24" t="s">
        <v>124</v>
      </c>
      <c r="G53" s="33" t="str">
        <f>_xlfn.XLOOKUP(A53,'Reference Master List'!$A:$A,'Reference Master List'!$E:$E,"NOT FOUND")</f>
        <v>https://www.esd.whs.mil/Portals/54/Documents/DD/issuances/dodd/500001p.pdf?ver=IxP_j399Em4zTd4PqFjuTQ%3d%3d</v>
      </c>
    </row>
    <row r="54" spans="1:7" ht="45" x14ac:dyDescent="0.25">
      <c r="A54" s="32" t="s">
        <v>0</v>
      </c>
      <c r="B54" s="21" t="str">
        <f>_xlfn.XLOOKUP(A54,'Reference Master List'!$A:$A,'Reference Master List'!$B:$B,"NOT FOUND")</f>
        <v>Product Support Management for the Adaptive Acquisition  Framework</v>
      </c>
      <c r="C54" s="22">
        <v>4.2</v>
      </c>
      <c r="D54" s="23">
        <f>_xlfn.XLOOKUP(A54,'Reference Master List'!$A:$A,'Reference Master List'!$D:$D,"NOT FOUND")</f>
        <v>44504</v>
      </c>
      <c r="E54" s="24" t="s">
        <v>39</v>
      </c>
      <c r="F54" s="24" t="s">
        <v>124</v>
      </c>
      <c r="G54" s="33" t="str">
        <f>_xlfn.XLOOKUP(A54,'Reference Master List'!$A:$A,'Reference Master List'!$E:$E,"NOT FOUND")</f>
        <v>https://www.esd.whs.mil/Portals/54/Documents/DD/issuances/dodi/500091p.PDF?ver=qk1slCU3Y0c1acIDocWyJA%3d%3d</v>
      </c>
    </row>
    <row r="55" spans="1:7" ht="45" x14ac:dyDescent="0.25">
      <c r="A55" s="32" t="s">
        <v>0</v>
      </c>
      <c r="B55" s="21" t="str">
        <f>_xlfn.XLOOKUP(A55,'Reference Master List'!$A:$A,'Reference Master List'!$B:$B,"NOT FOUND")</f>
        <v>Product Support Management for the Adaptive Acquisition  Framework</v>
      </c>
      <c r="C55" s="22" t="s">
        <v>125</v>
      </c>
      <c r="D55" s="23">
        <f>_xlfn.XLOOKUP(A55,'Reference Master List'!$A:$A,'Reference Master List'!$D:$D,"NOT FOUND")</f>
        <v>44504</v>
      </c>
      <c r="E55" s="24" t="s">
        <v>39</v>
      </c>
      <c r="F55" s="24" t="s">
        <v>124</v>
      </c>
      <c r="G55" s="33" t="str">
        <f>_xlfn.XLOOKUP(A55,'Reference Master List'!$A:$A,'Reference Master List'!$E:$E,"NOT FOUND")</f>
        <v>https://www.esd.whs.mil/Portals/54/Documents/DD/issuances/dodi/500091p.PDF?ver=qk1slCU3Y0c1acIDocWyJA%3d%3d</v>
      </c>
    </row>
    <row r="56" spans="1:7" x14ac:dyDescent="0.25">
      <c r="A56" s="32" t="s">
        <v>4</v>
      </c>
      <c r="B56" s="21" t="str">
        <f>_xlfn.XLOOKUP(A56,'Reference Master List'!$A:$A,'Reference Master List'!$B:$B,"NOT FOUND")</f>
        <v>Engineering of Defense Systems</v>
      </c>
      <c r="C56" s="22" t="s">
        <v>126</v>
      </c>
      <c r="D56" s="23">
        <f>_xlfn.XLOOKUP(A56,'Reference Master List'!$A:$A,'Reference Master List'!$D:$D,"NOT FOUND")</f>
        <v>44153</v>
      </c>
      <c r="E56" s="24" t="s">
        <v>39</v>
      </c>
      <c r="F56" s="24">
        <v>4.5</v>
      </c>
      <c r="G56" s="33" t="str">
        <f>_xlfn.XLOOKUP(A56,'Reference Master List'!$A:$A,'Reference Master List'!$E:$E,"NOT FOUND")</f>
        <v>https://www.esd.whs.mil/Portals/54/Documents/DD/issuances/dodi/500088p.PDF?ver=O8LFc8NzlyJX-SgM2Haalw%3d%3d</v>
      </c>
    </row>
    <row r="57" spans="1:7" x14ac:dyDescent="0.25">
      <c r="A57" s="32" t="s">
        <v>4</v>
      </c>
      <c r="B57" s="21" t="str">
        <f>_xlfn.XLOOKUP(A57,'Reference Master List'!$A:$A,'Reference Master List'!$B:$B,"NOT FOUND")</f>
        <v>Engineering of Defense Systems</v>
      </c>
      <c r="C57" s="22" t="s">
        <v>127</v>
      </c>
      <c r="D57" s="23">
        <f>_xlfn.XLOOKUP(A57,'Reference Master List'!$A:$A,'Reference Master List'!$D:$D,"NOT FOUND")</f>
        <v>44153</v>
      </c>
      <c r="E57" s="24" t="s">
        <v>39</v>
      </c>
      <c r="F57" s="24">
        <v>4.5</v>
      </c>
      <c r="G57" s="33" t="str">
        <f>_xlfn.XLOOKUP(A57,'Reference Master List'!$A:$A,'Reference Master List'!$E:$E,"NOT FOUND")</f>
        <v>https://www.esd.whs.mil/Portals/54/Documents/DD/issuances/dodi/500088p.PDF?ver=O8LFc8NzlyJX-SgM2Haalw%3d%3d</v>
      </c>
    </row>
    <row r="58" spans="1:7" ht="30" x14ac:dyDescent="0.25">
      <c r="A58" s="32" t="s">
        <v>3</v>
      </c>
      <c r="B58" s="21" t="str">
        <f>_xlfn.XLOOKUP(A58,'Reference Master List'!$A:$A,'Reference Master List'!$B:$B,"NOT FOUND")</f>
        <v>Requirements for the Acquisition of Digital Capabilities</v>
      </c>
      <c r="C58" s="22" t="s">
        <v>128</v>
      </c>
      <c r="D58" s="23">
        <f>_xlfn.XLOOKUP(A58,'Reference Master List'!$A:$A,'Reference Master List'!$D:$D,"NOT FOUND")</f>
        <v>45078</v>
      </c>
      <c r="E58" s="24" t="s">
        <v>39</v>
      </c>
      <c r="F58" s="24">
        <v>4.5</v>
      </c>
      <c r="G58" s="33" t="str">
        <f>_xlfn.XLOOKUP(A58,'Reference Master List'!$A:$A,'Reference Master List'!$E:$E,"NOT FOUND")</f>
        <v>https://www.esd.whs.mil/Portals/54/Documents/DD/issuances/dodi/500082p.pdf?ver=QZaqmiSGQ9iDARW1j-_hgw%3d%3d</v>
      </c>
    </row>
    <row r="59" spans="1:7" ht="30" x14ac:dyDescent="0.25">
      <c r="A59" s="32" t="s">
        <v>3</v>
      </c>
      <c r="B59" s="21" t="str">
        <f>_xlfn.XLOOKUP(A59,'Reference Master List'!$A:$A,'Reference Master List'!$B:$B,"NOT FOUND")</f>
        <v>Requirements for the Acquisition of Digital Capabilities</v>
      </c>
      <c r="C59" s="22" t="s">
        <v>129</v>
      </c>
      <c r="D59" s="23">
        <f>_xlfn.XLOOKUP(A59,'Reference Master List'!$A:$A,'Reference Master List'!$D:$D,"NOT FOUND")</f>
        <v>45078</v>
      </c>
      <c r="E59" s="24" t="s">
        <v>39</v>
      </c>
      <c r="F59" s="24">
        <v>4.5</v>
      </c>
      <c r="G59" s="33" t="str">
        <f>_xlfn.XLOOKUP(A59,'Reference Master List'!$A:$A,'Reference Master List'!$E:$E,"NOT FOUND")</f>
        <v>https://www.esd.whs.mil/Portals/54/Documents/DD/issuances/dodi/500082p.pdf?ver=QZaqmiSGQ9iDARW1j-_hgw%3d%3d</v>
      </c>
    </row>
    <row r="60" spans="1:7" ht="30" x14ac:dyDescent="0.25">
      <c r="A60" s="32" t="s">
        <v>7</v>
      </c>
      <c r="B60" s="21" t="str">
        <f>_xlfn.XLOOKUP(A60,'Reference Master List'!$A:$A,'Reference Master List'!$B:$B,"NOT FOUND")</f>
        <v>DoW Records Management Program</v>
      </c>
      <c r="C60" s="22" t="s">
        <v>130</v>
      </c>
      <c r="D60" s="23">
        <f>_xlfn.XLOOKUP(A60,'Reference Master List'!$A:$A,'Reference Master List'!$D:$D,"NOT FOUND")</f>
        <v>46199</v>
      </c>
      <c r="E60" s="24" t="s">
        <v>39</v>
      </c>
      <c r="F60" s="24">
        <v>4.5</v>
      </c>
      <c r="G60" s="33" t="str">
        <f>_xlfn.XLOOKUP(A60,'Reference Master List'!$A:$A,'Reference Master List'!$E:$E,"NOT FOUND")</f>
        <v>https://www.esd.whs.mil/Portals/54/Documents/DD/issuances/dodi/501502p.PDF?ver=OJUzNkxKuwZEaJjTAm7uTQ%3d%3d</v>
      </c>
    </row>
    <row r="61" spans="1:7" ht="30" x14ac:dyDescent="0.25">
      <c r="A61" s="32" t="s">
        <v>7</v>
      </c>
      <c r="B61" s="21" t="str">
        <f>_xlfn.XLOOKUP(A61,'Reference Master List'!$A:$A,'Reference Master List'!$B:$B,"NOT FOUND")</f>
        <v>DoW Records Management Program</v>
      </c>
      <c r="C61" s="22" t="s">
        <v>131</v>
      </c>
      <c r="D61" s="23">
        <f>_xlfn.XLOOKUP(A61,'Reference Master List'!$A:$A,'Reference Master List'!$D:$D,"NOT FOUND")</f>
        <v>46199</v>
      </c>
      <c r="E61" s="24" t="s">
        <v>39</v>
      </c>
      <c r="F61" s="24">
        <v>4.5</v>
      </c>
      <c r="G61" s="33" t="str">
        <f>_xlfn.XLOOKUP(A61,'Reference Master List'!$A:$A,'Reference Master List'!$E:$E,"NOT FOUND")</f>
        <v>https://www.esd.whs.mil/Portals/54/Documents/DD/issuances/dodi/501502p.PDF?ver=OJUzNkxKuwZEaJjTAm7uTQ%3d%3d</v>
      </c>
    </row>
    <row r="62" spans="1:7" ht="30" x14ac:dyDescent="0.25">
      <c r="A62" s="32" t="s">
        <v>7</v>
      </c>
      <c r="B62" s="21" t="str">
        <f>_xlfn.XLOOKUP(A62,'Reference Master List'!$A:$A,'Reference Master List'!$B:$B,"NOT FOUND")</f>
        <v>DoW Records Management Program</v>
      </c>
      <c r="C62" s="22" t="s">
        <v>132</v>
      </c>
      <c r="D62" s="23">
        <f>_xlfn.XLOOKUP(A62,'Reference Master List'!$A:$A,'Reference Master List'!$D:$D,"NOT FOUND")</f>
        <v>46199</v>
      </c>
      <c r="E62" s="24" t="s">
        <v>39</v>
      </c>
      <c r="F62" s="24">
        <v>4.5</v>
      </c>
      <c r="G62" s="33" t="str">
        <f>_xlfn.XLOOKUP(A62,'Reference Master List'!$A:$A,'Reference Master List'!$E:$E,"NOT FOUND")</f>
        <v>https://www.esd.whs.mil/Portals/54/Documents/DD/issuances/dodi/501502p.PDF?ver=OJUzNkxKuwZEaJjTAm7uTQ%3d%3d</v>
      </c>
    </row>
    <row r="63" spans="1:7" ht="30" x14ac:dyDescent="0.25">
      <c r="A63" s="32" t="s">
        <v>7</v>
      </c>
      <c r="B63" s="21" t="str">
        <f>_xlfn.XLOOKUP(A63,'Reference Master List'!$A:$A,'Reference Master List'!$B:$B,"NOT FOUND")</f>
        <v>DoW Records Management Program</v>
      </c>
      <c r="C63" s="22" t="s">
        <v>133</v>
      </c>
      <c r="D63" s="23">
        <f>_xlfn.XLOOKUP(A63,'Reference Master List'!$A:$A,'Reference Master List'!$D:$D,"NOT FOUND")</f>
        <v>46199</v>
      </c>
      <c r="E63" s="24" t="s">
        <v>39</v>
      </c>
      <c r="F63" s="24">
        <v>4.5</v>
      </c>
      <c r="G63" s="33" t="str">
        <f>_xlfn.XLOOKUP(A63,'Reference Master List'!$A:$A,'Reference Master List'!$E:$E,"NOT FOUND")</f>
        <v>https://www.esd.whs.mil/Portals/54/Documents/DD/issuances/dodi/501502p.PDF?ver=OJUzNkxKuwZEaJjTAm7uTQ%3d%3d</v>
      </c>
    </row>
    <row r="64" spans="1:7" ht="30" x14ac:dyDescent="0.25">
      <c r="A64" s="32" t="s">
        <v>7</v>
      </c>
      <c r="B64" s="21" t="str">
        <f>_xlfn.XLOOKUP(A64,'Reference Master List'!$A:$A,'Reference Master List'!$B:$B,"NOT FOUND")</f>
        <v>DoW Records Management Program</v>
      </c>
      <c r="C64" s="22" t="s">
        <v>134</v>
      </c>
      <c r="D64" s="23">
        <f>_xlfn.XLOOKUP(A64,'Reference Master List'!$A:$A,'Reference Master List'!$D:$D,"NOT FOUND")</f>
        <v>46199</v>
      </c>
      <c r="E64" s="24" t="s">
        <v>39</v>
      </c>
      <c r="F64" s="24">
        <v>4.5</v>
      </c>
      <c r="G64" s="33" t="str">
        <f>_xlfn.XLOOKUP(A64,'Reference Master List'!$A:$A,'Reference Master List'!$E:$E,"NOT FOUND")</f>
        <v>https://www.esd.whs.mil/Portals/54/Documents/DD/issuances/dodi/501502p.PDF?ver=OJUzNkxKuwZEaJjTAm7uTQ%3d%3d</v>
      </c>
    </row>
    <row r="65" spans="1:7" ht="45" x14ac:dyDescent="0.25">
      <c r="A65" s="32" t="s">
        <v>0</v>
      </c>
      <c r="B65" s="21" t="str">
        <f>_xlfn.XLOOKUP(A65,'Reference Master List'!$A:$A,'Reference Master List'!$B:$B,"NOT FOUND")</f>
        <v>Product Support Management for the Adaptive Acquisition  Framework</v>
      </c>
      <c r="C65" s="22" t="s">
        <v>86</v>
      </c>
      <c r="D65" s="23">
        <f>_xlfn.XLOOKUP(A65,'Reference Master List'!$A:$A,'Reference Master List'!$D:$D,"NOT FOUND")</f>
        <v>44504</v>
      </c>
      <c r="E65" s="24" t="s">
        <v>39</v>
      </c>
      <c r="F65" s="24">
        <v>4.5</v>
      </c>
      <c r="G65" s="33" t="str">
        <f>_xlfn.XLOOKUP(A65,'Reference Master List'!$A:$A,'Reference Master List'!$E:$E,"NOT FOUND")</f>
        <v>https://www.esd.whs.mil/Portals/54/Documents/DD/issuances/dodi/500091p.PDF?ver=qk1slCU3Y0c1acIDocWyJA%3d%3d</v>
      </c>
    </row>
    <row r="66" spans="1:7" ht="45" x14ac:dyDescent="0.25">
      <c r="A66" s="32" t="s">
        <v>0</v>
      </c>
      <c r="B66" s="21" t="str">
        <f>_xlfn.XLOOKUP(A66,'Reference Master List'!$A:$A,'Reference Master List'!$B:$B,"NOT FOUND")</f>
        <v>Product Support Management for the Adaptive Acquisition  Framework</v>
      </c>
      <c r="C66" s="22" t="s">
        <v>102</v>
      </c>
      <c r="D66" s="23">
        <f>_xlfn.XLOOKUP(A66,'Reference Master List'!$A:$A,'Reference Master List'!$D:$D,"NOT FOUND")</f>
        <v>44504</v>
      </c>
      <c r="E66" s="24" t="s">
        <v>39</v>
      </c>
      <c r="F66" s="24">
        <v>4.5</v>
      </c>
      <c r="G66" s="33" t="str">
        <f>_xlfn.XLOOKUP(A66,'Reference Master List'!$A:$A,'Reference Master List'!$E:$E,"NOT FOUND")</f>
        <v>https://www.esd.whs.mil/Portals/54/Documents/DD/issuances/dodi/500091p.PDF?ver=qk1slCU3Y0c1acIDocWyJA%3d%3d</v>
      </c>
    </row>
    <row r="67" spans="1:7" ht="30" x14ac:dyDescent="0.25">
      <c r="A67" s="32" t="s">
        <v>8</v>
      </c>
      <c r="B67" s="21" t="str">
        <f>_xlfn.XLOOKUP(A67,'Reference Master List'!$A:$A,'Reference Master List'!$B:$B,"NOT FOUND")</f>
        <v>DoD Information Technology (IT) Service Management (ITSM)</v>
      </c>
      <c r="C67" s="22" t="s">
        <v>135</v>
      </c>
      <c r="D67" s="23">
        <f>_xlfn.XLOOKUP(A67,'Reference Master List'!$A:$A,'Reference Master List'!$D:$D,"NOT FOUND")</f>
        <v>42362</v>
      </c>
      <c r="E67" s="24" t="s">
        <v>39</v>
      </c>
      <c r="F67" s="24">
        <v>4.5999999999999996</v>
      </c>
      <c r="G67" s="33" t="str">
        <f>_xlfn.XLOOKUP(A67,'Reference Master List'!$A:$A,'Reference Master List'!$E:$E,"NOT FOUND")</f>
        <v>https://www.esd.whs.mil/Portals/54/Documents/DD/issuances/dodi/844001p.pdf</v>
      </c>
    </row>
    <row r="68" spans="1:7" ht="45" x14ac:dyDescent="0.25">
      <c r="A68" s="32" t="s">
        <v>0</v>
      </c>
      <c r="B68" s="21" t="str">
        <f>_xlfn.XLOOKUP(A68,'Reference Master List'!$A:$A,'Reference Master List'!$B:$B,"NOT FOUND")</f>
        <v>Product Support Management for the Adaptive Acquisition  Framework</v>
      </c>
      <c r="C68" s="22" t="s">
        <v>102</v>
      </c>
      <c r="D68" s="23">
        <f>_xlfn.XLOOKUP(A68,'Reference Master List'!$A:$A,'Reference Master List'!$D:$D,"NOT FOUND")</f>
        <v>44504</v>
      </c>
      <c r="E68" s="24" t="s">
        <v>39</v>
      </c>
      <c r="F68" s="24">
        <v>4.5999999999999996</v>
      </c>
      <c r="G68" s="33" t="str">
        <f>_xlfn.XLOOKUP(A68,'Reference Master List'!$A:$A,'Reference Master List'!$E:$E,"NOT FOUND")</f>
        <v>https://www.esd.whs.mil/Portals/54/Documents/DD/issuances/dodi/500091p.PDF?ver=qk1slCU3Y0c1acIDocWyJA%3d%3d</v>
      </c>
    </row>
    <row r="69" spans="1:7" ht="45" x14ac:dyDescent="0.25">
      <c r="A69" s="32" t="s">
        <v>0</v>
      </c>
      <c r="B69" s="21" t="str">
        <f>_xlfn.XLOOKUP(A69,'Reference Master List'!$A:$A,'Reference Master List'!$B:$B,"NOT FOUND")</f>
        <v>Product Support Management for the Adaptive Acquisition  Framework</v>
      </c>
      <c r="C69" s="22" t="s">
        <v>136</v>
      </c>
      <c r="D69" s="23">
        <f>_xlfn.XLOOKUP(A69,'Reference Master List'!$A:$A,'Reference Master List'!$D:$D,"NOT FOUND")</f>
        <v>44504</v>
      </c>
      <c r="E69" s="24" t="s">
        <v>39</v>
      </c>
      <c r="F69" s="24">
        <v>4.5999999999999996</v>
      </c>
      <c r="G69" s="33" t="str">
        <f>_xlfn.XLOOKUP(A69,'Reference Master List'!$A:$A,'Reference Master List'!$E:$E,"NOT FOUND")</f>
        <v>https://www.esd.whs.mil/Portals/54/Documents/DD/issuances/dodi/500091p.PDF?ver=qk1slCU3Y0c1acIDocWyJA%3d%3d</v>
      </c>
    </row>
    <row r="70" spans="1:7" ht="30" x14ac:dyDescent="0.25">
      <c r="A70" s="32" t="s">
        <v>8</v>
      </c>
      <c r="B70" s="21" t="str">
        <f>_xlfn.XLOOKUP(A70,'Reference Master List'!$A:$A,'Reference Master List'!$B:$B,"NOT FOUND")</f>
        <v>DoD Information Technology (IT) Service Management (ITSM)</v>
      </c>
      <c r="C70" s="22" t="s">
        <v>137</v>
      </c>
      <c r="D70" s="23">
        <f>_xlfn.XLOOKUP(A70,'Reference Master List'!$A:$A,'Reference Master List'!$D:$D,"NOT FOUND")</f>
        <v>42362</v>
      </c>
      <c r="E70" s="24" t="s">
        <v>39</v>
      </c>
      <c r="F70" s="24">
        <v>4.5999999999999996</v>
      </c>
      <c r="G70" s="33" t="str">
        <f>_xlfn.XLOOKUP(A70,'Reference Master List'!$A:$A,'Reference Master List'!$E:$E,"NOT FOUND")</f>
        <v>https://www.esd.whs.mil/Portals/54/Documents/DD/issuances/dodi/844001p.pdf</v>
      </c>
    </row>
    <row r="71" spans="1:7" ht="45" x14ac:dyDescent="0.25">
      <c r="A71" s="34" t="s">
        <v>300</v>
      </c>
      <c r="B71" s="21" t="str">
        <f>_xlfn.XLOOKUP(A71,'Reference Master List'!$A:$A,'Reference Master List'!$B:$B,"NOT FOUND")</f>
        <v>Protection of Mission Critical Functions to Achieve Trusted Systems and Networks </v>
      </c>
      <c r="C71" s="22" t="s">
        <v>138</v>
      </c>
      <c r="D71" s="23">
        <f>_xlfn.XLOOKUP(A71,'Reference Master List'!$A:$A,'Reference Master List'!$D:$D,"NOT FOUND")</f>
        <v>45338</v>
      </c>
      <c r="E71" s="24" t="s">
        <v>39</v>
      </c>
      <c r="F71" s="24" t="s">
        <v>139</v>
      </c>
      <c r="G71" s="33" t="str">
        <f>_xlfn.XLOOKUP(A71,'Reference Master List'!$A:$A,'Reference Master List'!$E:$E,"NOT FOUND")</f>
        <v>https://www.esd.whs.mil/Portals/54/Documents/DD/issuances/dodi/520044p.pdf?ver=FykYguJCo0S8RyRGdriRvg%3d%3d</v>
      </c>
    </row>
    <row r="72" spans="1:7" ht="45" x14ac:dyDescent="0.25">
      <c r="A72" s="32" t="s">
        <v>9</v>
      </c>
      <c r="B72" s="21" t="str">
        <f>_xlfn.XLOOKUP(A72,'Reference Master List'!$A:$A,'Reference Master List'!$B:$B,"NOT FOUND")</f>
        <v>Technology and Program Protection to Maintain Technological Advantage</v>
      </c>
      <c r="C72" s="22">
        <v>3.3</v>
      </c>
      <c r="D72" s="23">
        <f>_xlfn.XLOOKUP(A72,'Reference Master List'!$A:$A,'Reference Master List'!$D:$D,"NOT FOUND")</f>
        <v>44337</v>
      </c>
      <c r="E72" s="24" t="s">
        <v>39</v>
      </c>
      <c r="F72" s="24" t="s">
        <v>139</v>
      </c>
      <c r="G72" s="33" t="str">
        <f>_xlfn.XLOOKUP(A72,'Reference Master List'!$A:$A,'Reference Master List'!$E:$E,"NOT FOUND")</f>
        <v>https://www.esd.whs.mil/Portals/54/Documents/DD/issuances/dodi/500083p.pdf?ver=fmz4Sx5tYVXnJZNKIoPoUQ%3d%3d</v>
      </c>
    </row>
    <row r="73" spans="1:7" ht="45" x14ac:dyDescent="0.25">
      <c r="A73" s="32" t="s">
        <v>9</v>
      </c>
      <c r="B73" s="21" t="str">
        <f>_xlfn.XLOOKUP(A73,'Reference Master List'!$A:$A,'Reference Master List'!$B:$B,"NOT FOUND")</f>
        <v>Technology and Program Protection to Maintain Technological Advantage</v>
      </c>
      <c r="C73" s="22" t="s">
        <v>138</v>
      </c>
      <c r="D73" s="23">
        <f>_xlfn.XLOOKUP(A73,'Reference Master List'!$A:$A,'Reference Master List'!$D:$D,"NOT FOUND")</f>
        <v>44337</v>
      </c>
      <c r="E73" s="24" t="s">
        <v>39</v>
      </c>
      <c r="F73" s="24" t="s">
        <v>139</v>
      </c>
      <c r="G73" s="33" t="str">
        <f>_xlfn.XLOOKUP(A73,'Reference Master List'!$A:$A,'Reference Master List'!$E:$E,"NOT FOUND")</f>
        <v>https://www.esd.whs.mil/Portals/54/Documents/DD/issuances/dodi/500083p.pdf?ver=fmz4Sx5tYVXnJZNKIoPoUQ%3d%3d</v>
      </c>
    </row>
    <row r="74" spans="1:7" x14ac:dyDescent="0.25">
      <c r="A74" s="32" t="s">
        <v>314</v>
      </c>
      <c r="B74" s="21" t="str">
        <f>_xlfn.XLOOKUP(A74,'Reference Master List'!$A:$A,'Reference Master List'!$B:$B,"NOT FOUND")</f>
        <v>The Defense Acquisition System</v>
      </c>
      <c r="C74" s="22" t="s">
        <v>140</v>
      </c>
      <c r="D74" s="23">
        <f>_xlfn.XLOOKUP(A74,'Reference Master List'!$A:$A,'Reference Master List'!$D:$D,"NOT FOUND")</f>
        <v>44770</v>
      </c>
      <c r="E74" s="24" t="s">
        <v>39</v>
      </c>
      <c r="F74" s="24" t="s">
        <v>139</v>
      </c>
      <c r="G74" s="33" t="str">
        <f>_xlfn.XLOOKUP(A74,'Reference Master List'!$A:$A,'Reference Master List'!$E:$E,"NOT FOUND")</f>
        <v>https://www.esd.whs.mil/Portals/54/Documents/DD/issuances/dodd/500001p.pdf?ver=IxP_j399Em4zTd4PqFjuTQ%3d%3d</v>
      </c>
    </row>
    <row r="75" spans="1:7" ht="30" x14ac:dyDescent="0.25">
      <c r="A75" s="32" t="s">
        <v>1</v>
      </c>
      <c r="B75" s="21" t="str">
        <f>_xlfn.XLOOKUP(A75,'Reference Master List'!$A:$A,'Reference Master List'!$B:$B,"NOT FOUND")</f>
        <v>Operation of the Middle Tier of Acquisition (MTA)</v>
      </c>
      <c r="C75" s="22" t="s">
        <v>92</v>
      </c>
      <c r="D75" s="23">
        <f>_xlfn.XLOOKUP(A75,'Reference Master List'!$A:$A,'Reference Master List'!$D:$D,"NOT FOUND")</f>
        <v>45621</v>
      </c>
      <c r="E75" s="24" t="s">
        <v>39</v>
      </c>
      <c r="F75" s="24" t="s">
        <v>139</v>
      </c>
      <c r="G75" s="33" t="str">
        <f>_xlfn.XLOOKUP(A75,'Reference Master List'!$A:$A,'Reference Master List'!$E:$E,"NOT FOUND")</f>
        <v>https://www.esd.whs.mil/Portals/54/Documents/DD/issuances/dodi/500080p.PDF?ver=QsDA5aJ20jnMMxhx1z5mJQ%3d%3d</v>
      </c>
    </row>
    <row r="76" spans="1:7" ht="45" x14ac:dyDescent="0.25">
      <c r="A76" s="32" t="s">
        <v>9</v>
      </c>
      <c r="B76" s="21" t="str">
        <f>_xlfn.XLOOKUP(A76,'Reference Master List'!$A:$A,'Reference Master List'!$B:$B,"NOT FOUND")</f>
        <v>Technology and Program Protection to Maintain Technological Advantage</v>
      </c>
      <c r="C76" s="22" t="s">
        <v>141</v>
      </c>
      <c r="D76" s="23">
        <f>_xlfn.XLOOKUP(A76,'Reference Master List'!$A:$A,'Reference Master List'!$D:$D,"NOT FOUND")</f>
        <v>44337</v>
      </c>
      <c r="E76" s="24" t="s">
        <v>39</v>
      </c>
      <c r="F76" s="24" t="s">
        <v>139</v>
      </c>
      <c r="G76" s="33" t="str">
        <f>_xlfn.XLOOKUP(A76,'Reference Master List'!$A:$A,'Reference Master List'!$E:$E,"NOT FOUND")</f>
        <v>https://www.esd.whs.mil/Portals/54/Documents/DD/issuances/dodi/500083p.pdf?ver=fmz4Sx5tYVXnJZNKIoPoUQ%3d%3d</v>
      </c>
    </row>
    <row r="77" spans="1:7" ht="45" x14ac:dyDescent="0.25">
      <c r="A77" s="32" t="s">
        <v>9</v>
      </c>
      <c r="B77" s="21" t="str">
        <f>_xlfn.XLOOKUP(A77,'Reference Master List'!$A:$A,'Reference Master List'!$B:$B,"NOT FOUND")</f>
        <v>Technology and Program Protection to Maintain Technological Advantage</v>
      </c>
      <c r="C77" s="22" t="s">
        <v>142</v>
      </c>
      <c r="D77" s="23">
        <f>_xlfn.XLOOKUP(A77,'Reference Master List'!$A:$A,'Reference Master List'!$D:$D,"NOT FOUND")</f>
        <v>44337</v>
      </c>
      <c r="E77" s="24" t="s">
        <v>39</v>
      </c>
      <c r="F77" s="24" t="s">
        <v>139</v>
      </c>
      <c r="G77" s="33" t="str">
        <f>_xlfn.XLOOKUP(A77,'Reference Master List'!$A:$A,'Reference Master List'!$E:$E,"NOT FOUND")</f>
        <v>https://www.esd.whs.mil/Portals/54/Documents/DD/issuances/dodi/500083p.pdf?ver=fmz4Sx5tYVXnJZNKIoPoUQ%3d%3d</v>
      </c>
    </row>
    <row r="78" spans="1:7" ht="45" x14ac:dyDescent="0.25">
      <c r="A78" s="32" t="s">
        <v>9</v>
      </c>
      <c r="B78" s="21" t="str">
        <f>_xlfn.XLOOKUP(A78,'Reference Master List'!$A:$A,'Reference Master List'!$B:$B,"NOT FOUND")</f>
        <v>Technology and Program Protection to Maintain Technological Advantage</v>
      </c>
      <c r="C78" s="22" t="s">
        <v>126</v>
      </c>
      <c r="D78" s="23">
        <f>_xlfn.XLOOKUP(A78,'Reference Master List'!$A:$A,'Reference Master List'!$D:$D,"NOT FOUND")</f>
        <v>44337</v>
      </c>
      <c r="E78" s="24" t="s">
        <v>39</v>
      </c>
      <c r="F78" s="24" t="s">
        <v>139</v>
      </c>
      <c r="G78" s="33" t="str">
        <f>_xlfn.XLOOKUP(A78,'Reference Master List'!$A:$A,'Reference Master List'!$E:$E,"NOT FOUND")</f>
        <v>https://www.esd.whs.mil/Portals/54/Documents/DD/issuances/dodi/500083p.pdf?ver=fmz4Sx5tYVXnJZNKIoPoUQ%3d%3d</v>
      </c>
    </row>
    <row r="79" spans="1:7" ht="45" x14ac:dyDescent="0.25">
      <c r="A79" s="32" t="s">
        <v>9</v>
      </c>
      <c r="B79" s="21" t="str">
        <f>_xlfn.XLOOKUP(A79,'Reference Master List'!$A:$A,'Reference Master List'!$B:$B,"NOT FOUND")</f>
        <v>Technology and Program Protection to Maintain Technological Advantage</v>
      </c>
      <c r="C79" s="22" t="s">
        <v>127</v>
      </c>
      <c r="D79" s="23">
        <f>_xlfn.XLOOKUP(A79,'Reference Master List'!$A:$A,'Reference Master List'!$D:$D,"NOT FOUND")</f>
        <v>44337</v>
      </c>
      <c r="E79" s="24" t="s">
        <v>39</v>
      </c>
      <c r="F79" s="24" t="s">
        <v>139</v>
      </c>
      <c r="G79" s="33" t="str">
        <f>_xlfn.XLOOKUP(A79,'Reference Master List'!$A:$A,'Reference Master List'!$E:$E,"NOT FOUND")</f>
        <v>https://www.esd.whs.mil/Portals/54/Documents/DD/issuances/dodi/500083p.pdf?ver=fmz4Sx5tYVXnJZNKIoPoUQ%3d%3d</v>
      </c>
    </row>
    <row r="80" spans="1:7" x14ac:dyDescent="0.25">
      <c r="A80" s="32" t="s">
        <v>4</v>
      </c>
      <c r="B80" s="21" t="str">
        <f>_xlfn.XLOOKUP(A80,'Reference Master List'!$A:$A,'Reference Master List'!$B:$B,"NOT FOUND")</f>
        <v>Engineering of Defense Systems</v>
      </c>
      <c r="C80" s="22" t="s">
        <v>143</v>
      </c>
      <c r="D80" s="23">
        <f>_xlfn.XLOOKUP(A80,'Reference Master List'!$A:$A,'Reference Master List'!$D:$D,"NOT FOUND")</f>
        <v>44153</v>
      </c>
      <c r="E80" s="24" t="s">
        <v>39</v>
      </c>
      <c r="F80" s="24" t="s">
        <v>139</v>
      </c>
      <c r="G80" s="33" t="str">
        <f>_xlfn.XLOOKUP(A80,'Reference Master List'!$A:$A,'Reference Master List'!$E:$E,"NOT FOUND")</f>
        <v>https://www.esd.whs.mil/Portals/54/Documents/DD/issuances/dodi/500088p.PDF?ver=O8LFc8NzlyJX-SgM2Haalw%3d%3d</v>
      </c>
    </row>
    <row r="81" spans="1:7" ht="30" x14ac:dyDescent="0.25">
      <c r="A81" s="32" t="s">
        <v>3</v>
      </c>
      <c r="B81" s="21" t="str">
        <f>_xlfn.XLOOKUP(A81,'Reference Master List'!$A:$A,'Reference Master List'!$B:$B,"NOT FOUND")</f>
        <v>Requirements for the Acquisition of Digital Capabilities</v>
      </c>
      <c r="C81" s="22" t="s">
        <v>144</v>
      </c>
      <c r="D81" s="23">
        <f>_xlfn.XLOOKUP(A81,'Reference Master List'!$A:$A,'Reference Master List'!$D:$D,"NOT FOUND")</f>
        <v>45078</v>
      </c>
      <c r="E81" s="24" t="s">
        <v>39</v>
      </c>
      <c r="F81" s="24" t="s">
        <v>139</v>
      </c>
      <c r="G81" s="33" t="str">
        <f>_xlfn.XLOOKUP(A81,'Reference Master List'!$A:$A,'Reference Master List'!$E:$E,"NOT FOUND")</f>
        <v>https://www.esd.whs.mil/Portals/54/Documents/DD/issuances/dodi/500082p.pdf?ver=QZaqmiSGQ9iDARW1j-_hgw%3d%3d</v>
      </c>
    </row>
    <row r="82" spans="1:7" ht="30" x14ac:dyDescent="0.25">
      <c r="A82" s="32" t="s">
        <v>3</v>
      </c>
      <c r="B82" s="21" t="str">
        <f>_xlfn.XLOOKUP(A82,'Reference Master List'!$A:$A,'Reference Master List'!$B:$B,"NOT FOUND")</f>
        <v>Requirements for the Acquisition of Digital Capabilities</v>
      </c>
      <c r="C82" s="22" t="s">
        <v>145</v>
      </c>
      <c r="D82" s="23">
        <f>_xlfn.XLOOKUP(A82,'Reference Master List'!$A:$A,'Reference Master List'!$D:$D,"NOT FOUND")</f>
        <v>45078</v>
      </c>
      <c r="E82" s="24" t="s">
        <v>39</v>
      </c>
      <c r="F82" s="24" t="s">
        <v>139</v>
      </c>
      <c r="G82" s="33" t="str">
        <f>_xlfn.XLOOKUP(A82,'Reference Master List'!$A:$A,'Reference Master List'!$E:$E,"NOT FOUND")</f>
        <v>https://www.esd.whs.mil/Portals/54/Documents/DD/issuances/dodi/500082p.pdf?ver=QZaqmiSGQ9iDARW1j-_hgw%3d%3d</v>
      </c>
    </row>
    <row r="83" spans="1:7" x14ac:dyDescent="0.25">
      <c r="A83" s="32" t="s">
        <v>4</v>
      </c>
      <c r="B83" s="21" t="str">
        <f>_xlfn.XLOOKUP(A83,'Reference Master List'!$A:$A,'Reference Master List'!$B:$B,"NOT FOUND")</f>
        <v>Engineering of Defense Systems</v>
      </c>
      <c r="C83" s="22" t="s">
        <v>118</v>
      </c>
      <c r="D83" s="23">
        <f>_xlfn.XLOOKUP(A83,'Reference Master List'!$A:$A,'Reference Master List'!$D:$D,"NOT FOUND")</f>
        <v>44153</v>
      </c>
      <c r="E83" s="24" t="s">
        <v>39</v>
      </c>
      <c r="F83" s="24" t="s">
        <v>139</v>
      </c>
      <c r="G83" s="33" t="str">
        <f>_xlfn.XLOOKUP(A83,'Reference Master List'!$A:$A,'Reference Master List'!$E:$E,"NOT FOUND")</f>
        <v>https://www.esd.whs.mil/Portals/54/Documents/DD/issuances/dodi/500088p.PDF?ver=O8LFc8NzlyJX-SgM2Haalw%3d%3d</v>
      </c>
    </row>
    <row r="84" spans="1:7" ht="30" x14ac:dyDescent="0.25">
      <c r="A84" s="32" t="s">
        <v>3</v>
      </c>
      <c r="B84" s="21" t="str">
        <f>_xlfn.XLOOKUP(A84,'Reference Master List'!$A:$A,'Reference Master List'!$B:$B,"NOT FOUND")</f>
        <v>Requirements for the Acquisition of Digital Capabilities</v>
      </c>
      <c r="C84" s="22" t="s">
        <v>146</v>
      </c>
      <c r="D84" s="23">
        <f>_xlfn.XLOOKUP(A84,'Reference Master List'!$A:$A,'Reference Master List'!$D:$D,"NOT FOUND")</f>
        <v>45078</v>
      </c>
      <c r="E84" s="24" t="s">
        <v>39</v>
      </c>
      <c r="F84" s="24" t="s">
        <v>139</v>
      </c>
      <c r="G84" s="33" t="str">
        <f>_xlfn.XLOOKUP(A84,'Reference Master List'!$A:$A,'Reference Master List'!$E:$E,"NOT FOUND")</f>
        <v>https://www.esd.whs.mil/Portals/54/Documents/DD/issuances/dodi/500082p.pdf?ver=QZaqmiSGQ9iDARW1j-_hgw%3d%3d</v>
      </c>
    </row>
    <row r="85" spans="1:7" ht="30" x14ac:dyDescent="0.25">
      <c r="A85" s="32" t="s">
        <v>3</v>
      </c>
      <c r="B85" s="21" t="str">
        <f>_xlfn.XLOOKUP(A85,'Reference Master List'!$A:$A,'Reference Master List'!$B:$B,"NOT FOUND")</f>
        <v>Requirements for the Acquisition of Digital Capabilities</v>
      </c>
      <c r="C85" s="22" t="s">
        <v>147</v>
      </c>
      <c r="D85" s="23">
        <f>_xlfn.XLOOKUP(A85,'Reference Master List'!$A:$A,'Reference Master List'!$D:$D,"NOT FOUND")</f>
        <v>45078</v>
      </c>
      <c r="E85" s="24" t="s">
        <v>39</v>
      </c>
      <c r="F85" s="24" t="s">
        <v>139</v>
      </c>
      <c r="G85" s="33" t="str">
        <f>_xlfn.XLOOKUP(A85,'Reference Master List'!$A:$A,'Reference Master List'!$E:$E,"NOT FOUND")</f>
        <v>https://www.esd.whs.mil/Portals/54/Documents/DD/issuances/dodi/500082p.pdf?ver=QZaqmiSGQ9iDARW1j-_hgw%3d%3d</v>
      </c>
    </row>
    <row r="86" spans="1:7" ht="45" x14ac:dyDescent="0.25">
      <c r="A86" s="32" t="s">
        <v>0</v>
      </c>
      <c r="B86" s="21" t="str">
        <f>_xlfn.XLOOKUP(A86,'Reference Master List'!$A:$A,'Reference Master List'!$B:$B,"NOT FOUND")</f>
        <v>Product Support Management for the Adaptive Acquisition  Framework</v>
      </c>
      <c r="C86" s="22">
        <v>4.9000000000000004</v>
      </c>
      <c r="D86" s="23">
        <f>_xlfn.XLOOKUP(A86,'Reference Master List'!$A:$A,'Reference Master List'!$D:$D,"NOT FOUND")</f>
        <v>44504</v>
      </c>
      <c r="E86" s="24" t="s">
        <v>39</v>
      </c>
      <c r="F86" s="24" t="s">
        <v>139</v>
      </c>
      <c r="G86" s="33" t="str">
        <f>_xlfn.XLOOKUP(A86,'Reference Master List'!$A:$A,'Reference Master List'!$E:$E,"NOT FOUND")</f>
        <v>https://www.esd.whs.mil/Portals/54/Documents/DD/issuances/dodi/500091p.PDF?ver=qk1slCU3Y0c1acIDocWyJA%3d%3d</v>
      </c>
    </row>
    <row r="87" spans="1:7" ht="45" x14ac:dyDescent="0.25">
      <c r="A87" s="32" t="s">
        <v>10</v>
      </c>
      <c r="B87" s="21" t="str">
        <f>_xlfn.XLOOKUP(A87,'Reference Master List'!$A:$A,'Reference Master List'!$B:$B,"NOT FOUND")</f>
        <v>Management of Intelligence Mission Data (IMD) in DOD Acquisition</v>
      </c>
      <c r="C87" s="22" t="s">
        <v>148</v>
      </c>
      <c r="D87" s="23">
        <f>_xlfn.XLOOKUP(A87,'Reference Master List'!$A:$A,'Reference Master List'!$D:$D,"NOT FOUND")</f>
        <v>42976</v>
      </c>
      <c r="E87" s="24" t="s">
        <v>39</v>
      </c>
      <c r="F87" s="24" t="s">
        <v>139</v>
      </c>
      <c r="G87" s="33" t="str">
        <f>_xlfn.XLOOKUP(A87,'Reference Master List'!$A:$A,'Reference Master List'!$E:$E,"NOT FOUND")</f>
        <v>https://www.esd.whs.mil/Portals/54/Documents/DD/issuances/dodd/525001p.pdf?ver=2019-07-08-094552-877</v>
      </c>
    </row>
    <row r="88" spans="1:7" ht="45" x14ac:dyDescent="0.25">
      <c r="A88" s="32" t="s">
        <v>0</v>
      </c>
      <c r="B88" s="21" t="str">
        <f>_xlfn.XLOOKUP(A88,'Reference Master List'!$A:$A,'Reference Master List'!$B:$B,"NOT FOUND")</f>
        <v>Product Support Management for the Adaptive Acquisition  Framework</v>
      </c>
      <c r="C88" s="22" t="s">
        <v>149</v>
      </c>
      <c r="D88" s="23">
        <f>_xlfn.XLOOKUP(A88,'Reference Master List'!$A:$A,'Reference Master List'!$D:$D,"NOT FOUND")</f>
        <v>44504</v>
      </c>
      <c r="E88" s="24" t="s">
        <v>39</v>
      </c>
      <c r="F88" s="24" t="s">
        <v>139</v>
      </c>
      <c r="G88" s="33" t="str">
        <f>_xlfn.XLOOKUP(A88,'Reference Master List'!$A:$A,'Reference Master List'!$E:$E,"NOT FOUND")</f>
        <v>https://www.esd.whs.mil/Portals/54/Documents/DD/issuances/dodi/500091p.PDF?ver=qk1slCU3Y0c1acIDocWyJA%3d%3d</v>
      </c>
    </row>
    <row r="89" spans="1:7" ht="30" x14ac:dyDescent="0.25">
      <c r="A89" s="32" t="s">
        <v>3</v>
      </c>
      <c r="B89" s="21" t="str">
        <f>_xlfn.XLOOKUP(A89,'Reference Master List'!$A:$A,'Reference Master List'!$B:$B,"NOT FOUND")</f>
        <v>Requirements for the Acquisition of Digital Capabilities</v>
      </c>
      <c r="C89" s="22">
        <v>3.5</v>
      </c>
      <c r="D89" s="23">
        <f>_xlfn.XLOOKUP(A89,'Reference Master List'!$A:$A,'Reference Master List'!$D:$D,"NOT FOUND")</f>
        <v>45078</v>
      </c>
      <c r="E89" s="24" t="s">
        <v>39</v>
      </c>
      <c r="F89" s="24" t="s">
        <v>139</v>
      </c>
      <c r="G89" s="33" t="str">
        <f>_xlfn.XLOOKUP(A89,'Reference Master List'!$A:$A,'Reference Master List'!$E:$E,"NOT FOUND")</f>
        <v>https://www.esd.whs.mil/Portals/54/Documents/DD/issuances/dodi/500082p.pdf?ver=QZaqmiSGQ9iDARW1j-_hgw%3d%3d</v>
      </c>
    </row>
    <row r="90" spans="1:7" ht="30" x14ac:dyDescent="0.25">
      <c r="A90" s="32" t="s">
        <v>3</v>
      </c>
      <c r="B90" s="21" t="str">
        <f>_xlfn.XLOOKUP(A90,'Reference Master List'!$A:$A,'Reference Master List'!$B:$B,"NOT FOUND")</f>
        <v>Requirements for the Acquisition of Digital Capabilities</v>
      </c>
      <c r="C90" s="22" t="s">
        <v>150</v>
      </c>
      <c r="D90" s="23">
        <f>_xlfn.XLOOKUP(A90,'Reference Master List'!$A:$A,'Reference Master List'!$D:$D,"NOT FOUND")</f>
        <v>45078</v>
      </c>
      <c r="E90" s="24" t="s">
        <v>39</v>
      </c>
      <c r="F90" s="24" t="s">
        <v>139</v>
      </c>
      <c r="G90" s="33" t="str">
        <f>_xlfn.XLOOKUP(A90,'Reference Master List'!$A:$A,'Reference Master List'!$E:$E,"NOT FOUND")</f>
        <v>https://www.esd.whs.mil/Portals/54/Documents/DD/issuances/dodi/500082p.pdf?ver=QZaqmiSGQ9iDARW1j-_hgw%3d%3d</v>
      </c>
    </row>
    <row r="91" spans="1:7" ht="45" x14ac:dyDescent="0.25">
      <c r="A91" s="32" t="s">
        <v>0</v>
      </c>
      <c r="B91" s="21" t="str">
        <f>_xlfn.XLOOKUP(A91,'Reference Master List'!$A:$A,'Reference Master List'!$B:$B,"NOT FOUND")</f>
        <v>Product Support Management for the Adaptive Acquisition  Framework</v>
      </c>
      <c r="C91" s="22" t="s">
        <v>104</v>
      </c>
      <c r="D91" s="23">
        <f>_xlfn.XLOOKUP(A91,'Reference Master List'!$A:$A,'Reference Master List'!$D:$D,"NOT FOUND")</f>
        <v>44504</v>
      </c>
      <c r="E91" s="24" t="s">
        <v>39</v>
      </c>
      <c r="F91" s="24" t="s">
        <v>151</v>
      </c>
      <c r="G91" s="33" t="str">
        <f>_xlfn.XLOOKUP(A91,'Reference Master List'!$A:$A,'Reference Master List'!$E:$E,"NOT FOUND")</f>
        <v>https://www.esd.whs.mil/Portals/54/Documents/DD/issuances/dodi/500091p.PDF?ver=qk1slCU3Y0c1acIDocWyJA%3d%3d</v>
      </c>
    </row>
    <row r="92" spans="1:7" ht="30" x14ac:dyDescent="0.25">
      <c r="A92" s="32" t="s">
        <v>3</v>
      </c>
      <c r="B92" s="21" t="str">
        <f>_xlfn.XLOOKUP(A92,'Reference Master List'!$A:$A,'Reference Master List'!$B:$B,"NOT FOUND")</f>
        <v>Requirements for the Acquisition of Digital Capabilities</v>
      </c>
      <c r="C92" s="22" t="s">
        <v>152</v>
      </c>
      <c r="D92" s="23">
        <f>_xlfn.XLOOKUP(A92,'Reference Master List'!$A:$A,'Reference Master List'!$D:$D,"NOT FOUND")</f>
        <v>45078</v>
      </c>
      <c r="E92" s="24" t="s">
        <v>39</v>
      </c>
      <c r="F92" s="24" t="s">
        <v>151</v>
      </c>
      <c r="G92" s="33" t="str">
        <f>_xlfn.XLOOKUP(A92,'Reference Master List'!$A:$A,'Reference Master List'!$E:$E,"NOT FOUND")</f>
        <v>https://www.esd.whs.mil/Portals/54/Documents/DD/issuances/dodi/500082p.pdf?ver=QZaqmiSGQ9iDARW1j-_hgw%3d%3d</v>
      </c>
    </row>
    <row r="93" spans="1:7" ht="30" x14ac:dyDescent="0.25">
      <c r="A93" s="32" t="s">
        <v>3</v>
      </c>
      <c r="B93" s="21" t="str">
        <f>_xlfn.XLOOKUP(A93,'Reference Master List'!$A:$A,'Reference Master List'!$B:$B,"NOT FOUND")</f>
        <v>Requirements for the Acquisition of Digital Capabilities</v>
      </c>
      <c r="C93" s="22" t="s">
        <v>153</v>
      </c>
      <c r="D93" s="23">
        <f>_xlfn.XLOOKUP(A93,'Reference Master List'!$A:$A,'Reference Master List'!$D:$D,"NOT FOUND")</f>
        <v>45078</v>
      </c>
      <c r="E93" s="24" t="s">
        <v>39</v>
      </c>
      <c r="F93" s="24" t="s">
        <v>151</v>
      </c>
      <c r="G93" s="33" t="str">
        <f>_xlfn.XLOOKUP(A93,'Reference Master List'!$A:$A,'Reference Master List'!$E:$E,"NOT FOUND")</f>
        <v>https://www.esd.whs.mil/Portals/54/Documents/DD/issuances/dodi/500082p.pdf?ver=QZaqmiSGQ9iDARW1j-_hgw%3d%3d</v>
      </c>
    </row>
    <row r="94" spans="1:7" x14ac:dyDescent="0.25">
      <c r="A94" s="32" t="s">
        <v>4</v>
      </c>
      <c r="B94" s="21" t="str">
        <f>_xlfn.XLOOKUP(A94,'Reference Master List'!$A:$A,'Reference Master List'!$B:$B,"NOT FOUND")</f>
        <v>Engineering of Defense Systems</v>
      </c>
      <c r="C94" s="22" t="s">
        <v>118</v>
      </c>
      <c r="D94" s="23">
        <f>_xlfn.XLOOKUP(A94,'Reference Master List'!$A:$A,'Reference Master List'!$D:$D,"NOT FOUND")</f>
        <v>44153</v>
      </c>
      <c r="E94" s="24" t="s">
        <v>39</v>
      </c>
      <c r="F94" s="24" t="s">
        <v>151</v>
      </c>
      <c r="G94" s="33" t="str">
        <f>_xlfn.XLOOKUP(A94,'Reference Master List'!$A:$A,'Reference Master List'!$E:$E,"NOT FOUND")</f>
        <v>https://www.esd.whs.mil/Portals/54/Documents/DD/issuances/dodi/500088p.PDF?ver=O8LFc8NzlyJX-SgM2Haalw%3d%3d</v>
      </c>
    </row>
    <row r="95" spans="1:7" ht="30" x14ac:dyDescent="0.25">
      <c r="A95" s="32" t="s">
        <v>1</v>
      </c>
      <c r="B95" s="21" t="str">
        <f>_xlfn.XLOOKUP(A95,'Reference Master List'!$A:$A,'Reference Master List'!$B:$B,"NOT FOUND")</f>
        <v>Operation of the Middle Tier of Acquisition (MTA)</v>
      </c>
      <c r="C95" s="22" t="s">
        <v>154</v>
      </c>
      <c r="D95" s="23">
        <f>_xlfn.XLOOKUP(A95,'Reference Master List'!$A:$A,'Reference Master List'!$D:$D,"NOT FOUND")</f>
        <v>45621</v>
      </c>
      <c r="E95" s="24" t="s">
        <v>39</v>
      </c>
      <c r="F95" s="24" t="s">
        <v>151</v>
      </c>
      <c r="G95" s="33" t="str">
        <f>_xlfn.XLOOKUP(A95,'Reference Master List'!$A:$A,'Reference Master List'!$E:$E,"NOT FOUND")</f>
        <v>https://www.esd.whs.mil/Portals/54/Documents/DD/issuances/dodi/500080p.PDF?ver=QsDA5aJ20jnMMxhx1z5mJQ%3d%3d</v>
      </c>
    </row>
    <row r="96" spans="1:7" ht="45" x14ac:dyDescent="0.25">
      <c r="A96" s="32" t="s">
        <v>0</v>
      </c>
      <c r="B96" s="21" t="str">
        <f>_xlfn.XLOOKUP(A96,'Reference Master List'!$A:$A,'Reference Master List'!$B:$B,"NOT FOUND")</f>
        <v>Product Support Management for the Adaptive Acquisition  Framework</v>
      </c>
      <c r="C96" s="22" t="s">
        <v>155</v>
      </c>
      <c r="D96" s="23">
        <f>_xlfn.XLOOKUP(A96,'Reference Master List'!$A:$A,'Reference Master List'!$D:$D,"NOT FOUND")</f>
        <v>44504</v>
      </c>
      <c r="E96" s="24" t="s">
        <v>39</v>
      </c>
      <c r="F96" s="24" t="s">
        <v>151</v>
      </c>
      <c r="G96" s="33" t="str">
        <f>_xlfn.XLOOKUP(A96,'Reference Master List'!$A:$A,'Reference Master List'!$E:$E,"NOT FOUND")</f>
        <v>https://www.esd.whs.mil/Portals/54/Documents/DD/issuances/dodi/500091p.PDF?ver=qk1slCU3Y0c1acIDocWyJA%3d%3d</v>
      </c>
    </row>
    <row r="97" spans="1:7" ht="45" x14ac:dyDescent="0.25">
      <c r="A97" s="32" t="s">
        <v>0</v>
      </c>
      <c r="B97" s="21" t="str">
        <f>_xlfn.XLOOKUP(A97,'Reference Master List'!$A:$A,'Reference Master List'!$B:$B,"NOT FOUND")</f>
        <v>Product Support Management for the Adaptive Acquisition  Framework</v>
      </c>
      <c r="C97" s="22" t="s">
        <v>156</v>
      </c>
      <c r="D97" s="23">
        <f>_xlfn.XLOOKUP(A97,'Reference Master List'!$A:$A,'Reference Master List'!$D:$D,"NOT FOUND")</f>
        <v>44504</v>
      </c>
      <c r="E97" s="24" t="s">
        <v>39</v>
      </c>
      <c r="F97" s="24" t="s">
        <v>151</v>
      </c>
      <c r="G97" s="33" t="str">
        <f>_xlfn.XLOOKUP(A97,'Reference Master List'!$A:$A,'Reference Master List'!$E:$E,"NOT FOUND")</f>
        <v>https://www.esd.whs.mil/Portals/54/Documents/DD/issuances/dodi/500091p.PDF?ver=qk1slCU3Y0c1acIDocWyJA%3d%3d</v>
      </c>
    </row>
    <row r="98" spans="1:7" ht="45" x14ac:dyDescent="0.25">
      <c r="A98" s="32" t="s">
        <v>0</v>
      </c>
      <c r="B98" s="21" t="str">
        <f>_xlfn.XLOOKUP(A98,'Reference Master List'!$A:$A,'Reference Master List'!$B:$B,"NOT FOUND")</f>
        <v>Product Support Management for the Adaptive Acquisition  Framework</v>
      </c>
      <c r="C98" s="22" t="s">
        <v>102</v>
      </c>
      <c r="D98" s="23">
        <f>_xlfn.XLOOKUP(A98,'Reference Master List'!$A:$A,'Reference Master List'!$D:$D,"NOT FOUND")</f>
        <v>44504</v>
      </c>
      <c r="E98" s="24" t="s">
        <v>39</v>
      </c>
      <c r="F98" s="24" t="s">
        <v>151</v>
      </c>
      <c r="G98" s="33" t="str">
        <f>_xlfn.XLOOKUP(A98,'Reference Master List'!$A:$A,'Reference Master List'!$E:$E,"NOT FOUND")</f>
        <v>https://www.esd.whs.mil/Portals/54/Documents/DD/issuances/dodi/500091p.PDF?ver=qk1slCU3Y0c1acIDocWyJA%3d%3d</v>
      </c>
    </row>
    <row r="99" spans="1:7" ht="45" x14ac:dyDescent="0.25">
      <c r="A99" s="32" t="s">
        <v>0</v>
      </c>
      <c r="B99" s="21" t="str">
        <f>_xlfn.XLOOKUP(A99,'Reference Master List'!$A:$A,'Reference Master List'!$B:$B,"NOT FOUND")</f>
        <v>Product Support Management for the Adaptive Acquisition  Framework</v>
      </c>
      <c r="C99" s="22" t="s">
        <v>157</v>
      </c>
      <c r="D99" s="23">
        <f>_xlfn.XLOOKUP(A99,'Reference Master List'!$A:$A,'Reference Master List'!$D:$D,"NOT FOUND")</f>
        <v>44504</v>
      </c>
      <c r="E99" s="24" t="s">
        <v>39</v>
      </c>
      <c r="F99" s="24" t="s">
        <v>158</v>
      </c>
      <c r="G99" s="33" t="str">
        <f>_xlfn.XLOOKUP(A99,'Reference Master List'!$A:$A,'Reference Master List'!$E:$E,"NOT FOUND")</f>
        <v>https://www.esd.whs.mil/Portals/54/Documents/DD/issuances/dodi/500091p.PDF?ver=qk1slCU3Y0c1acIDocWyJA%3d%3d</v>
      </c>
    </row>
    <row r="100" spans="1:7" ht="30" x14ac:dyDescent="0.25">
      <c r="A100" s="32" t="s">
        <v>3</v>
      </c>
      <c r="B100" s="21" t="str">
        <f>_xlfn.XLOOKUP(A100,'Reference Master List'!$A:$A,'Reference Master List'!$B:$B,"NOT FOUND")</f>
        <v>Requirements for the Acquisition of Digital Capabilities</v>
      </c>
      <c r="C100" s="22" t="s">
        <v>153</v>
      </c>
      <c r="D100" s="23">
        <f>_xlfn.XLOOKUP(A100,'Reference Master List'!$A:$A,'Reference Master List'!$D:$D,"NOT FOUND")</f>
        <v>45078</v>
      </c>
      <c r="E100" s="24" t="s">
        <v>39</v>
      </c>
      <c r="F100" s="24" t="s">
        <v>158</v>
      </c>
      <c r="G100" s="33" t="str">
        <f>_xlfn.XLOOKUP(A100,'Reference Master List'!$A:$A,'Reference Master List'!$E:$E,"NOT FOUND")</f>
        <v>https://www.esd.whs.mil/Portals/54/Documents/DD/issuances/dodi/500082p.pdf?ver=QZaqmiSGQ9iDARW1j-_hgw%3d%3d</v>
      </c>
    </row>
    <row r="101" spans="1:7" x14ac:dyDescent="0.25">
      <c r="A101" s="32" t="s">
        <v>4</v>
      </c>
      <c r="B101" s="21" t="str">
        <f>_xlfn.XLOOKUP(A101,'Reference Master List'!$A:$A,'Reference Master List'!$B:$B,"NOT FOUND")</f>
        <v>Engineering of Defense Systems</v>
      </c>
      <c r="C101" s="22" t="s">
        <v>116</v>
      </c>
      <c r="D101" s="23">
        <f>_xlfn.XLOOKUP(A101,'Reference Master List'!$A:$A,'Reference Master List'!$D:$D,"NOT FOUND")</f>
        <v>44153</v>
      </c>
      <c r="E101" s="24" t="s">
        <v>39</v>
      </c>
      <c r="F101" s="24" t="s">
        <v>158</v>
      </c>
      <c r="G101" s="33" t="str">
        <f>_xlfn.XLOOKUP(A101,'Reference Master List'!$A:$A,'Reference Master List'!$E:$E,"NOT FOUND")</f>
        <v>https://www.esd.whs.mil/Portals/54/Documents/DD/issuances/dodi/500088p.PDF?ver=O8LFc8NzlyJX-SgM2Haalw%3d%3d</v>
      </c>
    </row>
    <row r="102" spans="1:7" x14ac:dyDescent="0.25">
      <c r="A102" s="32" t="s">
        <v>4</v>
      </c>
      <c r="B102" s="21" t="str">
        <f>_xlfn.XLOOKUP(A102,'Reference Master List'!$A:$A,'Reference Master List'!$B:$B,"NOT FOUND")</f>
        <v>Engineering of Defense Systems</v>
      </c>
      <c r="C102" s="22" t="s">
        <v>159</v>
      </c>
      <c r="D102" s="23">
        <f>_xlfn.XLOOKUP(A102,'Reference Master List'!$A:$A,'Reference Master List'!$D:$D,"NOT FOUND")</f>
        <v>44153</v>
      </c>
      <c r="E102" s="24" t="s">
        <v>39</v>
      </c>
      <c r="F102" s="24" t="s">
        <v>158</v>
      </c>
      <c r="G102" s="33" t="str">
        <f>_xlfn.XLOOKUP(A102,'Reference Master List'!$A:$A,'Reference Master List'!$E:$E,"NOT FOUND")</f>
        <v>https://www.esd.whs.mil/Portals/54/Documents/DD/issuances/dodi/500088p.PDF?ver=O8LFc8NzlyJX-SgM2Haalw%3d%3d</v>
      </c>
    </row>
    <row r="103" spans="1:7" ht="45" x14ac:dyDescent="0.25">
      <c r="A103" s="32" t="s">
        <v>0</v>
      </c>
      <c r="B103" s="21" t="str">
        <f>_xlfn.XLOOKUP(A103,'Reference Master List'!$A:$A,'Reference Master List'!$B:$B,"NOT FOUND")</f>
        <v>Product Support Management for the Adaptive Acquisition  Framework</v>
      </c>
      <c r="C103" s="22" t="s">
        <v>160</v>
      </c>
      <c r="D103" s="23">
        <f>_xlfn.XLOOKUP(A103,'Reference Master List'!$A:$A,'Reference Master List'!$D:$D,"NOT FOUND")</f>
        <v>44504</v>
      </c>
      <c r="E103" s="24" t="s">
        <v>39</v>
      </c>
      <c r="F103" s="24">
        <v>4.7</v>
      </c>
      <c r="G103" s="33" t="str">
        <f>_xlfn.XLOOKUP(A103,'Reference Master List'!$A:$A,'Reference Master List'!$E:$E,"NOT FOUND")</f>
        <v>https://www.esd.whs.mil/Portals/54/Documents/DD/issuances/dodi/500091p.PDF?ver=qk1slCU3Y0c1acIDocWyJA%3d%3d</v>
      </c>
    </row>
    <row r="104" spans="1:7" ht="45" x14ac:dyDescent="0.25">
      <c r="A104" s="32" t="s">
        <v>0</v>
      </c>
      <c r="B104" s="21" t="str">
        <f>_xlfn.XLOOKUP(A104,'Reference Master List'!$A:$A,'Reference Master List'!$B:$B,"NOT FOUND")</f>
        <v>Product Support Management for the Adaptive Acquisition  Framework</v>
      </c>
      <c r="C104" s="22" t="s">
        <v>161</v>
      </c>
      <c r="D104" s="23">
        <f>_xlfn.XLOOKUP(A104,'Reference Master List'!$A:$A,'Reference Master List'!$D:$D,"NOT FOUND")</f>
        <v>44504</v>
      </c>
      <c r="E104" s="24" t="s">
        <v>39</v>
      </c>
      <c r="F104" s="24">
        <v>4.7</v>
      </c>
      <c r="G104" s="33" t="str">
        <f>_xlfn.XLOOKUP(A104,'Reference Master List'!$A:$A,'Reference Master List'!$E:$E,"NOT FOUND")</f>
        <v>https://www.esd.whs.mil/Portals/54/Documents/DD/issuances/dodi/500091p.PDF?ver=qk1slCU3Y0c1acIDocWyJA%3d%3d</v>
      </c>
    </row>
    <row r="105" spans="1:7" ht="45" x14ac:dyDescent="0.25">
      <c r="A105" s="32" t="s">
        <v>0</v>
      </c>
      <c r="B105" s="21" t="str">
        <f>_xlfn.XLOOKUP(A105,'Reference Master List'!$A:$A,'Reference Master List'!$B:$B,"NOT FOUND")</f>
        <v>Product Support Management for the Adaptive Acquisition  Framework</v>
      </c>
      <c r="C105" s="22" t="s">
        <v>105</v>
      </c>
      <c r="D105" s="23">
        <f>_xlfn.XLOOKUP(A105,'Reference Master List'!$A:$A,'Reference Master List'!$D:$D,"NOT FOUND")</f>
        <v>44504</v>
      </c>
      <c r="E105" s="24" t="s">
        <v>39</v>
      </c>
      <c r="F105" s="24">
        <v>4.1100000000000003</v>
      </c>
      <c r="G105" s="33" t="str">
        <f>_xlfn.XLOOKUP(A105,'Reference Master List'!$A:$A,'Reference Master List'!$E:$E,"NOT FOUND")</f>
        <v>https://www.esd.whs.mil/Portals/54/Documents/DD/issuances/dodi/500091p.PDF?ver=qk1slCU3Y0c1acIDocWyJA%3d%3d</v>
      </c>
    </row>
    <row r="106" spans="1:7" ht="45" x14ac:dyDescent="0.25">
      <c r="A106" s="32" t="s">
        <v>0</v>
      </c>
      <c r="B106" s="21" t="str">
        <f>_xlfn.XLOOKUP(A106,'Reference Master List'!$A:$A,'Reference Master List'!$B:$B,"NOT FOUND")</f>
        <v>Product Support Management for the Adaptive Acquisition  Framework</v>
      </c>
      <c r="C106" s="22" t="s">
        <v>98</v>
      </c>
      <c r="D106" s="23">
        <f>_xlfn.XLOOKUP(A106,'Reference Master List'!$A:$A,'Reference Master List'!$D:$D,"NOT FOUND")</f>
        <v>44504</v>
      </c>
      <c r="E106" s="24" t="s">
        <v>39</v>
      </c>
      <c r="F106" s="24">
        <v>4.1100000000000003</v>
      </c>
      <c r="G106" s="33" t="str">
        <f>_xlfn.XLOOKUP(A106,'Reference Master List'!$A:$A,'Reference Master List'!$E:$E,"NOT FOUND")</f>
        <v>https://www.esd.whs.mil/Portals/54/Documents/DD/issuances/dodi/500091p.PDF?ver=qk1slCU3Y0c1acIDocWyJA%3d%3d</v>
      </c>
    </row>
    <row r="107" spans="1:7" ht="45" x14ac:dyDescent="0.25">
      <c r="A107" s="32" t="s">
        <v>0</v>
      </c>
      <c r="B107" s="21" t="str">
        <f>_xlfn.XLOOKUP(A107,'Reference Master List'!$A:$A,'Reference Master List'!$B:$B,"NOT FOUND")</f>
        <v>Product Support Management for the Adaptive Acquisition  Framework</v>
      </c>
      <c r="C107" s="22" t="s">
        <v>162</v>
      </c>
      <c r="D107" s="23">
        <f>_xlfn.XLOOKUP(A107,'Reference Master List'!$A:$A,'Reference Master List'!$D:$D,"NOT FOUND")</f>
        <v>44504</v>
      </c>
      <c r="E107" s="24" t="s">
        <v>39</v>
      </c>
      <c r="F107" s="24">
        <v>4.1100000000000003</v>
      </c>
      <c r="G107" s="33" t="str">
        <f>_xlfn.XLOOKUP(A107,'Reference Master List'!$A:$A,'Reference Master List'!$E:$E,"NOT FOUND")</f>
        <v>https://www.esd.whs.mil/Portals/54/Documents/DD/issuances/dodi/500091p.PDF?ver=qk1slCU3Y0c1acIDocWyJA%3d%3d</v>
      </c>
    </row>
    <row r="108" spans="1:7" ht="45" x14ac:dyDescent="0.25">
      <c r="A108" s="32" t="s">
        <v>0</v>
      </c>
      <c r="B108" s="21" t="str">
        <f>_xlfn.XLOOKUP(A108,'Reference Master List'!$A:$A,'Reference Master List'!$B:$B,"NOT FOUND")</f>
        <v>Product Support Management for the Adaptive Acquisition  Framework</v>
      </c>
      <c r="C108" s="22" t="s">
        <v>163</v>
      </c>
      <c r="D108" s="23">
        <f>_xlfn.XLOOKUP(A108,'Reference Master List'!$A:$A,'Reference Master List'!$D:$D,"NOT FOUND")</f>
        <v>44504</v>
      </c>
      <c r="E108" s="24" t="s">
        <v>39</v>
      </c>
      <c r="F108" s="24">
        <v>4.1100000000000003</v>
      </c>
      <c r="G108" s="33" t="str">
        <f>_xlfn.XLOOKUP(A108,'Reference Master List'!$A:$A,'Reference Master List'!$E:$E,"NOT FOUND")</f>
        <v>https://www.esd.whs.mil/Portals/54/Documents/DD/issuances/dodi/500091p.PDF?ver=qk1slCU3Y0c1acIDocWyJA%3d%3d</v>
      </c>
    </row>
    <row r="109" spans="1:7" x14ac:dyDescent="0.25">
      <c r="A109" s="32" t="s">
        <v>314</v>
      </c>
      <c r="B109" s="21" t="str">
        <f>_xlfn.XLOOKUP(A109,'Reference Master List'!$A:$A,'Reference Master List'!$B:$B,"NOT FOUND")</f>
        <v>The Defense Acquisition System</v>
      </c>
      <c r="C109" s="22" t="s">
        <v>123</v>
      </c>
      <c r="D109" s="23">
        <f>_xlfn.XLOOKUP(A109,'Reference Master List'!$A:$A,'Reference Master List'!$D:$D,"NOT FOUND")</f>
        <v>44770</v>
      </c>
      <c r="E109" s="24" t="s">
        <v>39</v>
      </c>
      <c r="F109" s="24" t="s">
        <v>164</v>
      </c>
      <c r="G109" s="33" t="str">
        <f>_xlfn.XLOOKUP(A109,'Reference Master List'!$A:$A,'Reference Master List'!$E:$E,"NOT FOUND")</f>
        <v>https://www.esd.whs.mil/Portals/54/Documents/DD/issuances/dodd/500001p.pdf?ver=IxP_j399Em4zTd4PqFjuTQ%3d%3d</v>
      </c>
    </row>
    <row r="110" spans="1:7" ht="30" x14ac:dyDescent="0.25">
      <c r="A110" s="32" t="s">
        <v>3</v>
      </c>
      <c r="B110" s="21" t="str">
        <f>_xlfn.XLOOKUP(A110,'Reference Master List'!$A:$A,'Reference Master List'!$B:$B,"NOT FOUND")</f>
        <v>Requirements for the Acquisition of Digital Capabilities</v>
      </c>
      <c r="C110" s="22" t="s">
        <v>165</v>
      </c>
      <c r="D110" s="23">
        <f>_xlfn.XLOOKUP(A110,'Reference Master List'!$A:$A,'Reference Master List'!$D:$D,"NOT FOUND")</f>
        <v>45078</v>
      </c>
      <c r="E110" s="24" t="s">
        <v>39</v>
      </c>
      <c r="F110" s="24" t="s">
        <v>164</v>
      </c>
      <c r="G110" s="33" t="str">
        <f>_xlfn.XLOOKUP(A110,'Reference Master List'!$A:$A,'Reference Master List'!$E:$E,"NOT FOUND")</f>
        <v>https://www.esd.whs.mil/Portals/54/Documents/DD/issuances/dodi/500082p.pdf?ver=QZaqmiSGQ9iDARW1j-_hgw%3d%3d</v>
      </c>
    </row>
    <row r="111" spans="1:7" ht="30" x14ac:dyDescent="0.25">
      <c r="A111" s="32" t="s">
        <v>5</v>
      </c>
      <c r="B111" s="21" t="str">
        <f>_xlfn.XLOOKUP(A111,'Reference Master List'!$A:$A,'Reference Master List'!$B:$B,"NOT FOUND")</f>
        <v>DoD Supply Chain Materiel Management Policy</v>
      </c>
      <c r="C111" s="22" t="s">
        <v>166</v>
      </c>
      <c r="D111" s="23">
        <f>_xlfn.XLOOKUP(A111,'Reference Master List'!$A:$A,'Reference Master List'!$D:$D,"NOT FOUND")</f>
        <v>43530</v>
      </c>
      <c r="E111" s="24" t="s">
        <v>39</v>
      </c>
      <c r="F111" s="24" t="s">
        <v>164</v>
      </c>
      <c r="G111" s="33" t="str">
        <f>_xlfn.XLOOKUP(A111,'Reference Master List'!$A:$A,'Reference Master List'!$E:$E,"NOT FOUND")</f>
        <v>https://www.esd.whs.mil/Portals/54/Documents/DD/issuances/dodi/414001p.PDF?ver=x3uRuJnmOdRqFqi2XkEYrQ%3d%3d</v>
      </c>
    </row>
    <row r="112" spans="1:7" ht="45" x14ac:dyDescent="0.25">
      <c r="A112" s="32" t="s">
        <v>0</v>
      </c>
      <c r="B112" s="21" t="str">
        <f>_xlfn.XLOOKUP(A112,'Reference Master List'!$A:$A,'Reference Master List'!$B:$B,"NOT FOUND")</f>
        <v>Product Support Management for the Adaptive Acquisition  Framework</v>
      </c>
      <c r="C112" s="22" t="s">
        <v>100</v>
      </c>
      <c r="D112" s="23">
        <f>_xlfn.XLOOKUP(A112,'Reference Master List'!$A:$A,'Reference Master List'!$D:$D,"NOT FOUND")</f>
        <v>44504</v>
      </c>
      <c r="E112" s="24" t="s">
        <v>39</v>
      </c>
      <c r="F112" s="24" t="s">
        <v>164</v>
      </c>
      <c r="G112" s="33" t="str">
        <f>_xlfn.XLOOKUP(A112,'Reference Master List'!$A:$A,'Reference Master List'!$E:$E,"NOT FOUND")</f>
        <v>https://www.esd.whs.mil/Portals/54/Documents/DD/issuances/dodi/500091p.PDF?ver=qk1slCU3Y0c1acIDocWyJA%3d%3d</v>
      </c>
    </row>
    <row r="113" spans="1:7" ht="45" x14ac:dyDescent="0.25">
      <c r="A113" s="32" t="s">
        <v>0</v>
      </c>
      <c r="B113" s="21" t="str">
        <f>_xlfn.XLOOKUP(A113,'Reference Master List'!$A:$A,'Reference Master List'!$B:$B,"NOT FOUND")</f>
        <v>Product Support Management for the Adaptive Acquisition  Framework</v>
      </c>
      <c r="C113" s="22" t="s">
        <v>167</v>
      </c>
      <c r="D113" s="23">
        <f>_xlfn.XLOOKUP(A113,'Reference Master List'!$A:$A,'Reference Master List'!$D:$D,"NOT FOUND")</f>
        <v>44504</v>
      </c>
      <c r="E113" s="24" t="s">
        <v>39</v>
      </c>
      <c r="F113" s="24" t="s">
        <v>164</v>
      </c>
      <c r="G113" s="33" t="str">
        <f>_xlfn.XLOOKUP(A113,'Reference Master List'!$A:$A,'Reference Master List'!$E:$E,"NOT FOUND")</f>
        <v>https://www.esd.whs.mil/Portals/54/Documents/DD/issuances/dodi/500091p.PDF?ver=qk1slCU3Y0c1acIDocWyJA%3d%3d</v>
      </c>
    </row>
    <row r="114" spans="1:7" ht="45" x14ac:dyDescent="0.25">
      <c r="A114" s="32" t="s">
        <v>0</v>
      </c>
      <c r="B114" s="21" t="str">
        <f>_xlfn.XLOOKUP(A114,'Reference Master List'!$A:$A,'Reference Master List'!$B:$B,"NOT FOUND")</f>
        <v>Product Support Management for the Adaptive Acquisition  Framework</v>
      </c>
      <c r="C114" s="22" t="s">
        <v>168</v>
      </c>
      <c r="D114" s="23">
        <f>_xlfn.XLOOKUP(A114,'Reference Master List'!$A:$A,'Reference Master List'!$D:$D,"NOT FOUND")</f>
        <v>44504</v>
      </c>
      <c r="E114" s="24" t="s">
        <v>39</v>
      </c>
      <c r="F114" s="24" t="s">
        <v>169</v>
      </c>
      <c r="G114" s="33" t="str">
        <f>_xlfn.XLOOKUP(A114,'Reference Master List'!$A:$A,'Reference Master List'!$E:$E,"NOT FOUND")</f>
        <v>https://www.esd.whs.mil/Portals/54/Documents/DD/issuances/dodi/500091p.PDF?ver=qk1slCU3Y0c1acIDocWyJA%3d%3d</v>
      </c>
    </row>
    <row r="115" spans="1:7" ht="45" x14ac:dyDescent="0.25">
      <c r="A115" s="32" t="s">
        <v>0</v>
      </c>
      <c r="B115" s="21" t="str">
        <f>_xlfn.XLOOKUP(A115,'Reference Master List'!$A:$A,'Reference Master List'!$B:$B,"NOT FOUND")</f>
        <v>Product Support Management for the Adaptive Acquisition  Framework</v>
      </c>
      <c r="C115" s="22" t="s">
        <v>170</v>
      </c>
      <c r="D115" s="23">
        <f>_xlfn.XLOOKUP(A115,'Reference Master List'!$A:$A,'Reference Master List'!$D:$D,"NOT FOUND")</f>
        <v>44504</v>
      </c>
      <c r="E115" s="24" t="s">
        <v>39</v>
      </c>
      <c r="F115" s="24" t="s">
        <v>169</v>
      </c>
      <c r="G115" s="33" t="str">
        <f>_xlfn.XLOOKUP(A115,'Reference Master List'!$A:$A,'Reference Master List'!$E:$E,"NOT FOUND")</f>
        <v>https://www.esd.whs.mil/Portals/54/Documents/DD/issuances/dodi/500091p.PDF?ver=qk1slCU3Y0c1acIDocWyJA%3d%3d</v>
      </c>
    </row>
    <row r="116" spans="1:7" x14ac:dyDescent="0.25">
      <c r="A116" s="32" t="s">
        <v>4</v>
      </c>
      <c r="B116" s="21" t="str">
        <f>_xlfn.XLOOKUP(A116,'Reference Master List'!$A:$A,'Reference Master List'!$B:$B,"NOT FOUND")</f>
        <v>Engineering of Defense Systems</v>
      </c>
      <c r="C116" s="22" t="s">
        <v>171</v>
      </c>
      <c r="D116" s="23">
        <f>_xlfn.XLOOKUP(A116,'Reference Master List'!$A:$A,'Reference Master List'!$D:$D,"NOT FOUND")</f>
        <v>44153</v>
      </c>
      <c r="E116" s="24" t="s">
        <v>39</v>
      </c>
      <c r="F116" s="24" t="s">
        <v>172</v>
      </c>
      <c r="G116" s="33" t="str">
        <f>_xlfn.XLOOKUP(A116,'Reference Master List'!$A:$A,'Reference Master List'!$E:$E,"NOT FOUND")</f>
        <v>https://www.esd.whs.mil/Portals/54/Documents/DD/issuances/dodi/500088p.PDF?ver=O8LFc8NzlyJX-SgM2Haalw%3d%3d</v>
      </c>
    </row>
    <row r="117" spans="1:7" x14ac:dyDescent="0.25">
      <c r="A117" s="32" t="s">
        <v>4</v>
      </c>
      <c r="B117" s="21" t="str">
        <f>_xlfn.XLOOKUP(A117,'Reference Master List'!$A:$A,'Reference Master List'!$B:$B,"NOT FOUND")</f>
        <v>Engineering of Defense Systems</v>
      </c>
      <c r="C117" s="22" t="s">
        <v>173</v>
      </c>
      <c r="D117" s="23">
        <f>_xlfn.XLOOKUP(A117,'Reference Master List'!$A:$A,'Reference Master List'!$D:$D,"NOT FOUND")</f>
        <v>44153</v>
      </c>
      <c r="E117" s="24" t="s">
        <v>39</v>
      </c>
      <c r="F117" s="24">
        <v>4.12</v>
      </c>
      <c r="G117" s="33" t="str">
        <f>_xlfn.XLOOKUP(A117,'Reference Master List'!$A:$A,'Reference Master List'!$E:$E,"NOT FOUND")</f>
        <v>https://www.esd.whs.mil/Portals/54/Documents/DD/issuances/dodi/500088p.PDF?ver=O8LFc8NzlyJX-SgM2Haalw%3d%3d</v>
      </c>
    </row>
    <row r="118" spans="1:7" x14ac:dyDescent="0.25">
      <c r="A118" s="32" t="s">
        <v>4</v>
      </c>
      <c r="B118" s="21" t="str">
        <f>_xlfn.XLOOKUP(A118,'Reference Master List'!$A:$A,'Reference Master List'!$B:$B,"NOT FOUND")</f>
        <v>Engineering of Defense Systems</v>
      </c>
      <c r="C118" s="22" t="s">
        <v>174</v>
      </c>
      <c r="D118" s="23">
        <f>_xlfn.XLOOKUP(A118,'Reference Master List'!$A:$A,'Reference Master List'!$D:$D,"NOT FOUND")</f>
        <v>44153</v>
      </c>
      <c r="E118" s="24" t="s">
        <v>39</v>
      </c>
      <c r="F118" s="24">
        <v>4.12</v>
      </c>
      <c r="G118" s="33" t="str">
        <f>_xlfn.XLOOKUP(A118,'Reference Master List'!$A:$A,'Reference Master List'!$E:$E,"NOT FOUND")</f>
        <v>https://www.esd.whs.mil/Portals/54/Documents/DD/issuances/dodi/500088p.PDF?ver=O8LFc8NzlyJX-SgM2Haalw%3d%3d</v>
      </c>
    </row>
    <row r="119" spans="1:7" x14ac:dyDescent="0.25">
      <c r="A119" s="32" t="s">
        <v>4</v>
      </c>
      <c r="B119" s="21" t="str">
        <f>_xlfn.XLOOKUP(A119,'Reference Master List'!$A:$A,'Reference Master List'!$B:$B,"NOT FOUND")</f>
        <v>Engineering of Defense Systems</v>
      </c>
      <c r="C119" s="22" t="s">
        <v>95</v>
      </c>
      <c r="D119" s="23">
        <f>_xlfn.XLOOKUP(A119,'Reference Master List'!$A:$A,'Reference Master List'!$D:$D,"NOT FOUND")</f>
        <v>44153</v>
      </c>
      <c r="E119" s="24" t="s">
        <v>39</v>
      </c>
      <c r="F119" s="24">
        <v>4.12</v>
      </c>
      <c r="G119" s="33" t="str">
        <f>_xlfn.XLOOKUP(A119,'Reference Master List'!$A:$A,'Reference Master List'!$E:$E,"NOT FOUND")</f>
        <v>https://www.esd.whs.mil/Portals/54/Documents/DD/issuances/dodi/500088p.PDF?ver=O8LFc8NzlyJX-SgM2Haalw%3d%3d</v>
      </c>
    </row>
    <row r="120" spans="1:7" ht="45" x14ac:dyDescent="0.25">
      <c r="A120" s="32" t="s">
        <v>0</v>
      </c>
      <c r="B120" s="21" t="str">
        <f>_xlfn.XLOOKUP(A120,'Reference Master List'!$A:$A,'Reference Master List'!$B:$B,"NOT FOUND")</f>
        <v>Product Support Management for the Adaptive Acquisition  Framework</v>
      </c>
      <c r="C120" s="22">
        <v>4.2</v>
      </c>
      <c r="D120" s="23">
        <f>_xlfn.XLOOKUP(A120,'Reference Master List'!$A:$A,'Reference Master List'!$D:$D,"NOT FOUND")</f>
        <v>44504</v>
      </c>
      <c r="E120" s="24" t="s">
        <v>39</v>
      </c>
      <c r="F120" s="24">
        <v>4.12</v>
      </c>
      <c r="G120" s="33" t="str">
        <f>_xlfn.XLOOKUP(A120,'Reference Master List'!$A:$A,'Reference Master List'!$E:$E,"NOT FOUND")</f>
        <v>https://www.esd.whs.mil/Portals/54/Documents/DD/issuances/dodi/500091p.PDF?ver=qk1slCU3Y0c1acIDocWyJA%3d%3d</v>
      </c>
    </row>
    <row r="121" spans="1:7" ht="45" x14ac:dyDescent="0.25">
      <c r="A121" s="32" t="s">
        <v>0</v>
      </c>
      <c r="B121" s="21" t="str">
        <f>_xlfn.XLOOKUP(A121,'Reference Master List'!$A:$A,'Reference Master List'!$B:$B,"NOT FOUND")</f>
        <v>Product Support Management for the Adaptive Acquisition  Framework</v>
      </c>
      <c r="C121" s="22" t="s">
        <v>175</v>
      </c>
      <c r="D121" s="23">
        <f>_xlfn.XLOOKUP(A121,'Reference Master List'!$A:$A,'Reference Master List'!$D:$D,"NOT FOUND")</f>
        <v>44504</v>
      </c>
      <c r="E121" s="24" t="s">
        <v>39</v>
      </c>
      <c r="F121" s="24">
        <v>4.12</v>
      </c>
      <c r="G121" s="33" t="str">
        <f>_xlfn.XLOOKUP(A121,'Reference Master List'!$A:$A,'Reference Master List'!$E:$E,"NOT FOUND")</f>
        <v>https://www.esd.whs.mil/Portals/54/Documents/DD/issuances/dodi/500091p.PDF?ver=qk1slCU3Y0c1acIDocWyJA%3d%3d</v>
      </c>
    </row>
    <row r="122" spans="1:7" ht="45" x14ac:dyDescent="0.25">
      <c r="A122" s="32" t="s">
        <v>0</v>
      </c>
      <c r="B122" s="21" t="str">
        <f>_xlfn.XLOOKUP(A122,'Reference Master List'!$A:$A,'Reference Master List'!$B:$B,"NOT FOUND")</f>
        <v>Product Support Management for the Adaptive Acquisition  Framework</v>
      </c>
      <c r="C122" s="22" t="s">
        <v>100</v>
      </c>
      <c r="D122" s="23">
        <f>_xlfn.XLOOKUP(A122,'Reference Master List'!$A:$A,'Reference Master List'!$D:$D,"NOT FOUND")</f>
        <v>44504</v>
      </c>
      <c r="E122" s="24" t="s">
        <v>39</v>
      </c>
      <c r="F122" s="24">
        <v>4.12</v>
      </c>
      <c r="G122" s="33" t="str">
        <f>_xlfn.XLOOKUP(A122,'Reference Master List'!$A:$A,'Reference Master List'!$E:$E,"NOT FOUND")</f>
        <v>https://www.esd.whs.mil/Portals/54/Documents/DD/issuances/dodi/500091p.PDF?ver=qk1slCU3Y0c1acIDocWyJA%3d%3d</v>
      </c>
    </row>
    <row r="123" spans="1:7" ht="45" x14ac:dyDescent="0.25">
      <c r="A123" s="32" t="s">
        <v>0</v>
      </c>
      <c r="B123" s="21" t="str">
        <f>_xlfn.XLOOKUP(A123,'Reference Master List'!$A:$A,'Reference Master List'!$B:$B,"NOT FOUND")</f>
        <v>Product Support Management for the Adaptive Acquisition  Framework</v>
      </c>
      <c r="C123" s="22" t="s">
        <v>176</v>
      </c>
      <c r="D123" s="23">
        <f>_xlfn.XLOOKUP(A123,'Reference Master List'!$A:$A,'Reference Master List'!$D:$D,"NOT FOUND")</f>
        <v>44504</v>
      </c>
      <c r="E123" s="24" t="s">
        <v>39</v>
      </c>
      <c r="F123" s="24" t="s">
        <v>177</v>
      </c>
      <c r="G123" s="33" t="str">
        <f>_xlfn.XLOOKUP(A123,'Reference Master List'!$A:$A,'Reference Master List'!$E:$E,"NOT FOUND")</f>
        <v>https://www.esd.whs.mil/Portals/54/Documents/DD/issuances/dodi/500091p.PDF?ver=qk1slCU3Y0c1acIDocWyJA%3d%3d</v>
      </c>
    </row>
    <row r="124" spans="1:7" ht="45" x14ac:dyDescent="0.25">
      <c r="A124" s="34" t="s">
        <v>300</v>
      </c>
      <c r="B124" s="21" t="str">
        <f>_xlfn.XLOOKUP(A124,'Reference Master List'!$A:$A,'Reference Master List'!$B:$B,"NOT FOUND")</f>
        <v>Protection of Mission Critical Functions to Achieve Trusted Systems and Networks </v>
      </c>
      <c r="C124" s="22" t="s">
        <v>81</v>
      </c>
      <c r="D124" s="23">
        <f>_xlfn.XLOOKUP(A124,'Reference Master List'!$A:$A,'Reference Master List'!$D:$D,"NOT FOUND")</f>
        <v>45338</v>
      </c>
      <c r="E124" s="24" t="s">
        <v>39</v>
      </c>
      <c r="F124" s="24" t="s">
        <v>178</v>
      </c>
      <c r="G124" s="33" t="str">
        <f>_xlfn.XLOOKUP(A124,'Reference Master List'!$A:$A,'Reference Master List'!$E:$E,"NOT FOUND")</f>
        <v>https://www.esd.whs.mil/Portals/54/Documents/DD/issuances/dodi/520044p.pdf?ver=FykYguJCo0S8RyRGdriRvg%3d%3d</v>
      </c>
    </row>
    <row r="125" spans="1:7" ht="45" x14ac:dyDescent="0.25">
      <c r="A125" s="34" t="s">
        <v>300</v>
      </c>
      <c r="B125" s="21" t="str">
        <f>_xlfn.XLOOKUP(A125,'Reference Master List'!$A:$A,'Reference Master List'!$B:$B,"NOT FOUND")</f>
        <v>Protection of Mission Critical Functions to Achieve Trusted Systems and Networks </v>
      </c>
      <c r="C125" s="22" t="s">
        <v>82</v>
      </c>
      <c r="D125" s="23">
        <f>_xlfn.XLOOKUP(A125,'Reference Master List'!$A:$A,'Reference Master List'!$D:$D,"NOT FOUND")</f>
        <v>45338</v>
      </c>
      <c r="E125" s="24" t="s">
        <v>39</v>
      </c>
      <c r="F125" s="24" t="s">
        <v>178</v>
      </c>
      <c r="G125" s="33" t="str">
        <f>_xlfn.XLOOKUP(A125,'Reference Master List'!$A:$A,'Reference Master List'!$E:$E,"NOT FOUND")</f>
        <v>https://www.esd.whs.mil/Portals/54/Documents/DD/issuances/dodi/520044p.pdf?ver=FykYguJCo0S8RyRGdriRvg%3d%3d</v>
      </c>
    </row>
    <row r="126" spans="1:7" ht="45" x14ac:dyDescent="0.25">
      <c r="A126" s="34" t="s">
        <v>300</v>
      </c>
      <c r="B126" s="21" t="str">
        <f>_xlfn.XLOOKUP(A126,'Reference Master List'!$A:$A,'Reference Master List'!$B:$B,"NOT FOUND")</f>
        <v>Protection of Mission Critical Functions to Achieve Trusted Systems and Networks </v>
      </c>
      <c r="C126" s="22" t="s">
        <v>179</v>
      </c>
      <c r="D126" s="23">
        <f>_xlfn.XLOOKUP(A126,'Reference Master List'!$A:$A,'Reference Master List'!$D:$D,"NOT FOUND")</f>
        <v>45338</v>
      </c>
      <c r="E126" s="24" t="s">
        <v>39</v>
      </c>
      <c r="F126" s="24" t="s">
        <v>178</v>
      </c>
      <c r="G126" s="33" t="str">
        <f>_xlfn.XLOOKUP(A126,'Reference Master List'!$A:$A,'Reference Master List'!$E:$E,"NOT FOUND")</f>
        <v>https://www.esd.whs.mil/Portals/54/Documents/DD/issuances/dodi/520044p.pdf?ver=FykYguJCo0S8RyRGdriRvg%3d%3d</v>
      </c>
    </row>
    <row r="127" spans="1:7" ht="45" x14ac:dyDescent="0.25">
      <c r="A127" s="34" t="s">
        <v>300</v>
      </c>
      <c r="B127" s="21" t="str">
        <f>_xlfn.XLOOKUP(A127,'Reference Master List'!$A:$A,'Reference Master List'!$B:$B,"NOT FOUND")</f>
        <v>Protection of Mission Critical Functions to Achieve Trusted Systems and Networks </v>
      </c>
      <c r="C127" s="22" t="s">
        <v>180</v>
      </c>
      <c r="D127" s="23">
        <f>_xlfn.XLOOKUP(A127,'Reference Master List'!$A:$A,'Reference Master List'!$D:$D,"NOT FOUND")</f>
        <v>45338</v>
      </c>
      <c r="E127" s="24" t="s">
        <v>39</v>
      </c>
      <c r="F127" s="24" t="s">
        <v>178</v>
      </c>
      <c r="G127" s="33" t="str">
        <f>_xlfn.XLOOKUP(A127,'Reference Master List'!$A:$A,'Reference Master List'!$E:$E,"NOT FOUND")</f>
        <v>https://www.esd.whs.mil/Portals/54/Documents/DD/issuances/dodi/520044p.pdf?ver=FykYguJCo0S8RyRGdriRvg%3d%3d</v>
      </c>
    </row>
    <row r="128" spans="1:7" ht="45" x14ac:dyDescent="0.25">
      <c r="A128" s="32" t="s">
        <v>0</v>
      </c>
      <c r="B128" s="21" t="str">
        <f>_xlfn.XLOOKUP(A128,'Reference Master List'!$A:$A,'Reference Master List'!$B:$B,"NOT FOUND")</f>
        <v>Product Support Management for the Adaptive Acquisition  Framework</v>
      </c>
      <c r="C128" s="22" t="s">
        <v>102</v>
      </c>
      <c r="D128" s="23">
        <f>_xlfn.XLOOKUP(A128,'Reference Master List'!$A:$A,'Reference Master List'!$D:$D,"NOT FOUND")</f>
        <v>44504</v>
      </c>
      <c r="E128" s="24" t="s">
        <v>39</v>
      </c>
      <c r="F128" s="24">
        <v>5.0999999999999996</v>
      </c>
      <c r="G128" s="33" t="str">
        <f>_xlfn.XLOOKUP(A128,'Reference Master List'!$A:$A,'Reference Master List'!$E:$E,"NOT FOUND")</f>
        <v>https://www.esd.whs.mil/Portals/54/Documents/DD/issuances/dodi/500091p.PDF?ver=qk1slCU3Y0c1acIDocWyJA%3d%3d</v>
      </c>
    </row>
    <row r="129" spans="1:7" ht="45" x14ac:dyDescent="0.25">
      <c r="A129" s="32" t="s">
        <v>0</v>
      </c>
      <c r="B129" s="21" t="str">
        <f>_xlfn.XLOOKUP(A129,'Reference Master List'!$A:$A,'Reference Master List'!$B:$B,"NOT FOUND")</f>
        <v>Product Support Management for the Adaptive Acquisition  Framework</v>
      </c>
      <c r="C129" s="22" t="s">
        <v>163</v>
      </c>
      <c r="D129" s="23">
        <f>_xlfn.XLOOKUP(A129,'Reference Master List'!$A:$A,'Reference Master List'!$D:$D,"NOT FOUND")</f>
        <v>44504</v>
      </c>
      <c r="E129" s="24" t="s">
        <v>39</v>
      </c>
      <c r="F129" s="24">
        <v>5.0999999999999996</v>
      </c>
      <c r="G129" s="33" t="str">
        <f>_xlfn.XLOOKUP(A129,'Reference Master List'!$A:$A,'Reference Master List'!$E:$E,"NOT FOUND")</f>
        <v>https://www.esd.whs.mil/Portals/54/Documents/DD/issuances/dodi/500091p.PDF?ver=qk1slCU3Y0c1acIDocWyJA%3d%3d</v>
      </c>
    </row>
    <row r="130" spans="1:7" x14ac:dyDescent="0.25">
      <c r="A130" s="32" t="s">
        <v>4</v>
      </c>
      <c r="B130" s="21" t="str">
        <f>_xlfn.XLOOKUP(A130,'Reference Master List'!$A:$A,'Reference Master List'!$B:$B,"NOT FOUND")</f>
        <v>Engineering of Defense Systems</v>
      </c>
      <c r="C130" s="22" t="s">
        <v>181</v>
      </c>
      <c r="D130" s="23">
        <f>_xlfn.XLOOKUP(A130,'Reference Master List'!$A:$A,'Reference Master List'!$D:$D,"NOT FOUND")</f>
        <v>44153</v>
      </c>
      <c r="E130" s="24" t="s">
        <v>39</v>
      </c>
      <c r="F130" s="24">
        <v>5.2</v>
      </c>
      <c r="G130" s="33" t="str">
        <f>_xlfn.XLOOKUP(A130,'Reference Master List'!$A:$A,'Reference Master List'!$E:$E,"NOT FOUND")</f>
        <v>https://www.esd.whs.mil/Portals/54/Documents/DD/issuances/dodi/500088p.PDF?ver=O8LFc8NzlyJX-SgM2Haalw%3d%3d</v>
      </c>
    </row>
    <row r="131" spans="1:7" ht="45" x14ac:dyDescent="0.25">
      <c r="A131" s="32" t="s">
        <v>0</v>
      </c>
      <c r="B131" s="21" t="str">
        <f>_xlfn.XLOOKUP(A131,'Reference Master List'!$A:$A,'Reference Master List'!$B:$B,"NOT FOUND")</f>
        <v>Product Support Management for the Adaptive Acquisition  Framework</v>
      </c>
      <c r="C131" s="22"/>
      <c r="D131" s="23">
        <f>_xlfn.XLOOKUP(A131,'Reference Master List'!$A:$A,'Reference Master List'!$D:$D,"NOT FOUND")</f>
        <v>44504</v>
      </c>
      <c r="E131" s="24" t="s">
        <v>39</v>
      </c>
      <c r="F131" s="24">
        <v>5.2</v>
      </c>
      <c r="G131" s="33" t="str">
        <f>_xlfn.XLOOKUP(A131,'Reference Master List'!$A:$A,'Reference Master List'!$E:$E,"NOT FOUND")</f>
        <v>https://www.esd.whs.mil/Portals/54/Documents/DD/issuances/dodi/500091p.PDF?ver=qk1slCU3Y0c1acIDocWyJA%3d%3d</v>
      </c>
    </row>
    <row r="132" spans="1:7" x14ac:dyDescent="0.25">
      <c r="A132" s="32" t="s">
        <v>314</v>
      </c>
      <c r="B132" s="21" t="str">
        <f>_xlfn.XLOOKUP(A132,'Reference Master List'!$A:$A,'Reference Master List'!$B:$B,"NOT FOUND")</f>
        <v>The Defense Acquisition System</v>
      </c>
      <c r="C132" s="22" t="s">
        <v>182</v>
      </c>
      <c r="D132" s="23">
        <f>_xlfn.XLOOKUP(A132,'Reference Master List'!$A:$A,'Reference Master List'!$D:$D,"NOT FOUND")</f>
        <v>44770</v>
      </c>
      <c r="E132" s="24" t="s">
        <v>39</v>
      </c>
      <c r="F132" s="24">
        <v>5.3</v>
      </c>
      <c r="G132" s="33" t="str">
        <f>_xlfn.XLOOKUP(A132,'Reference Master List'!$A:$A,'Reference Master List'!$E:$E,"NOT FOUND")</f>
        <v>https://www.esd.whs.mil/Portals/54/Documents/DD/issuances/dodd/500001p.pdf?ver=IxP_j399Em4zTd4PqFjuTQ%3d%3d</v>
      </c>
    </row>
    <row r="133" spans="1:7" x14ac:dyDescent="0.25">
      <c r="A133" s="32" t="s">
        <v>4</v>
      </c>
      <c r="B133" s="21" t="str">
        <f>_xlfn.XLOOKUP(A133,'Reference Master List'!$A:$A,'Reference Master List'!$B:$B,"NOT FOUND")</f>
        <v>Engineering of Defense Systems</v>
      </c>
      <c r="C133" s="22" t="s">
        <v>116</v>
      </c>
      <c r="D133" s="23">
        <f>_xlfn.XLOOKUP(A133,'Reference Master List'!$A:$A,'Reference Master List'!$D:$D,"NOT FOUND")</f>
        <v>44153</v>
      </c>
      <c r="E133" s="24" t="s">
        <v>39</v>
      </c>
      <c r="F133" s="24">
        <v>5.3</v>
      </c>
      <c r="G133" s="33" t="str">
        <f>_xlfn.XLOOKUP(A133,'Reference Master List'!$A:$A,'Reference Master List'!$E:$E,"NOT FOUND")</f>
        <v>https://www.esd.whs.mil/Portals/54/Documents/DD/issuances/dodi/500088p.PDF?ver=O8LFc8NzlyJX-SgM2Haalw%3d%3d</v>
      </c>
    </row>
    <row r="134" spans="1:7" x14ac:dyDescent="0.25">
      <c r="A134" s="32" t="s">
        <v>4</v>
      </c>
      <c r="B134" s="21" t="str">
        <f>_xlfn.XLOOKUP(A134,'Reference Master List'!$A:$A,'Reference Master List'!$B:$B,"NOT FOUND")</f>
        <v>Engineering of Defense Systems</v>
      </c>
      <c r="C134" s="22" t="s">
        <v>183</v>
      </c>
      <c r="D134" s="23">
        <f>_xlfn.XLOOKUP(A134,'Reference Master List'!$A:$A,'Reference Master List'!$D:$D,"NOT FOUND")</f>
        <v>44153</v>
      </c>
      <c r="E134" s="24" t="s">
        <v>39</v>
      </c>
      <c r="F134" s="24">
        <v>5.3</v>
      </c>
      <c r="G134" s="33" t="str">
        <f>_xlfn.XLOOKUP(A134,'Reference Master List'!$A:$A,'Reference Master List'!$E:$E,"NOT FOUND")</f>
        <v>https://www.esd.whs.mil/Portals/54/Documents/DD/issuances/dodi/500088p.PDF?ver=O8LFc8NzlyJX-SgM2Haalw%3d%3d</v>
      </c>
    </row>
    <row r="135" spans="1:7" ht="30" x14ac:dyDescent="0.25">
      <c r="A135" s="32" t="s">
        <v>3</v>
      </c>
      <c r="B135" s="21" t="str">
        <f>_xlfn.XLOOKUP(A135,'Reference Master List'!$A:$A,'Reference Master List'!$B:$B,"NOT FOUND")</f>
        <v>Requirements for the Acquisition of Digital Capabilities</v>
      </c>
      <c r="C135" s="22" t="s">
        <v>150</v>
      </c>
      <c r="D135" s="23">
        <f>_xlfn.XLOOKUP(A135,'Reference Master List'!$A:$A,'Reference Master List'!$D:$D,"NOT FOUND")</f>
        <v>45078</v>
      </c>
      <c r="E135" s="24" t="s">
        <v>39</v>
      </c>
      <c r="F135" s="24">
        <v>5.3</v>
      </c>
      <c r="G135" s="33" t="str">
        <f>_xlfn.XLOOKUP(A135,'Reference Master List'!$A:$A,'Reference Master List'!$E:$E,"NOT FOUND")</f>
        <v>https://www.esd.whs.mil/Portals/54/Documents/DD/issuances/dodi/500082p.pdf?ver=QZaqmiSGQ9iDARW1j-_hgw%3d%3d</v>
      </c>
    </row>
    <row r="136" spans="1:7" ht="30" x14ac:dyDescent="0.25">
      <c r="A136" s="32" t="s">
        <v>3</v>
      </c>
      <c r="B136" s="21" t="str">
        <f>_xlfn.XLOOKUP(A136,'Reference Master List'!$A:$A,'Reference Master List'!$B:$B,"NOT FOUND")</f>
        <v>Requirements for the Acquisition of Digital Capabilities</v>
      </c>
      <c r="C136" s="22" t="s">
        <v>171</v>
      </c>
      <c r="D136" s="23">
        <f>_xlfn.XLOOKUP(A136,'Reference Master List'!$A:$A,'Reference Master List'!$D:$D,"NOT FOUND")</f>
        <v>45078</v>
      </c>
      <c r="E136" s="24" t="s">
        <v>39</v>
      </c>
      <c r="F136" s="24">
        <v>6</v>
      </c>
      <c r="G136" s="33" t="str">
        <f>_xlfn.XLOOKUP(A136,'Reference Master List'!$A:$A,'Reference Master List'!$E:$E,"NOT FOUND")</f>
        <v>https://www.esd.whs.mil/Portals/54/Documents/DD/issuances/dodi/500082p.pdf?ver=QZaqmiSGQ9iDARW1j-_hgw%3d%3d</v>
      </c>
    </row>
    <row r="137" spans="1:7" x14ac:dyDescent="0.25">
      <c r="A137" s="32" t="s">
        <v>4</v>
      </c>
      <c r="B137" s="21" t="str">
        <f>_xlfn.XLOOKUP(A137,'Reference Master List'!$A:$A,'Reference Master List'!$B:$B,"NOT FOUND")</f>
        <v>Engineering of Defense Systems</v>
      </c>
      <c r="C137" s="22" t="s">
        <v>95</v>
      </c>
      <c r="D137" s="23">
        <f>_xlfn.XLOOKUP(A137,'Reference Master List'!$A:$A,'Reference Master List'!$D:$D,"NOT FOUND")</f>
        <v>44153</v>
      </c>
      <c r="E137" s="24" t="s">
        <v>39</v>
      </c>
      <c r="F137" s="24">
        <v>6</v>
      </c>
      <c r="G137" s="33" t="str">
        <f>_xlfn.XLOOKUP(A137,'Reference Master List'!$A:$A,'Reference Master List'!$E:$E,"NOT FOUND")</f>
        <v>https://www.esd.whs.mil/Portals/54/Documents/DD/issuances/dodi/500088p.PDF?ver=O8LFc8NzlyJX-SgM2Haalw%3d%3d</v>
      </c>
    </row>
    <row r="138" spans="1:7" x14ac:dyDescent="0.25">
      <c r="A138" s="32" t="s">
        <v>4</v>
      </c>
      <c r="B138" s="21" t="str">
        <f>_xlfn.XLOOKUP(A138,'Reference Master List'!$A:$A,'Reference Master List'!$B:$B,"NOT FOUND")</f>
        <v>Engineering of Defense Systems</v>
      </c>
      <c r="C138" s="22" t="s">
        <v>184</v>
      </c>
      <c r="D138" s="23">
        <f>_xlfn.XLOOKUP(A138,'Reference Master List'!$A:$A,'Reference Master List'!$D:$D,"NOT FOUND")</f>
        <v>44153</v>
      </c>
      <c r="E138" s="24" t="s">
        <v>39</v>
      </c>
      <c r="F138" s="24">
        <v>6</v>
      </c>
      <c r="G138" s="33" t="str">
        <f>_xlfn.XLOOKUP(A138,'Reference Master List'!$A:$A,'Reference Master List'!$E:$E,"NOT FOUND")</f>
        <v>https://www.esd.whs.mil/Portals/54/Documents/DD/issuances/dodi/500088p.PDF?ver=O8LFc8NzlyJX-SgM2Haalw%3d%3d</v>
      </c>
    </row>
    <row r="139" spans="1:7" ht="45" x14ac:dyDescent="0.25">
      <c r="A139" s="32" t="s">
        <v>0</v>
      </c>
      <c r="B139" s="21" t="str">
        <f>_xlfn.XLOOKUP(A139,'Reference Master List'!$A:$A,'Reference Master List'!$B:$B,"NOT FOUND")</f>
        <v>Product Support Management for the Adaptive Acquisition  Framework</v>
      </c>
      <c r="C139" s="22" t="s">
        <v>86</v>
      </c>
      <c r="D139" s="23">
        <f>_xlfn.XLOOKUP(A139,'Reference Master List'!$A:$A,'Reference Master List'!$D:$D,"NOT FOUND")</f>
        <v>44504</v>
      </c>
      <c r="E139" s="24" t="s">
        <v>39</v>
      </c>
      <c r="F139" s="24">
        <v>6</v>
      </c>
      <c r="G139" s="33" t="str">
        <f>_xlfn.XLOOKUP(A139,'Reference Master List'!$A:$A,'Reference Master List'!$E:$E,"NOT FOUND")</f>
        <v>https://www.esd.whs.mil/Portals/54/Documents/DD/issuances/dodi/500091p.PDF?ver=qk1slCU3Y0c1acIDocWyJA%3d%3d</v>
      </c>
    </row>
    <row r="140" spans="1:7" ht="30" x14ac:dyDescent="0.25">
      <c r="A140" s="32" t="s">
        <v>1</v>
      </c>
      <c r="B140" s="21" t="str">
        <f>_xlfn.XLOOKUP(A140,'Reference Master List'!$A:$A,'Reference Master List'!$B:$B,"NOT FOUND")</f>
        <v>Operation of the Middle Tier of Acquisition (MTA)</v>
      </c>
      <c r="C140" s="22" t="s">
        <v>92</v>
      </c>
      <c r="D140" s="23">
        <f>_xlfn.XLOOKUP(A140,'Reference Master List'!$A:$A,'Reference Master List'!$D:$D,"NOT FOUND")</f>
        <v>45621</v>
      </c>
      <c r="E140" s="24" t="s">
        <v>39</v>
      </c>
      <c r="F140" s="24">
        <v>7</v>
      </c>
      <c r="G140" s="33" t="str">
        <f>_xlfn.XLOOKUP(A140,'Reference Master List'!$A:$A,'Reference Master List'!$E:$E,"NOT FOUND")</f>
        <v>https://www.esd.whs.mil/Portals/54/Documents/DD/issuances/dodi/500080p.PDF?ver=QsDA5aJ20jnMMxhx1z5mJQ%3d%3d</v>
      </c>
    </row>
    <row r="141" spans="1:7" x14ac:dyDescent="0.25">
      <c r="A141" s="32" t="s">
        <v>4</v>
      </c>
      <c r="B141" s="21" t="str">
        <f>_xlfn.XLOOKUP(A141,'Reference Master List'!$A:$A,'Reference Master List'!$B:$B,"NOT FOUND")</f>
        <v>Engineering of Defense Systems</v>
      </c>
      <c r="C141" s="22" t="s">
        <v>116</v>
      </c>
      <c r="D141" s="23">
        <f>_xlfn.XLOOKUP(A141,'Reference Master List'!$A:$A,'Reference Master List'!$D:$D,"NOT FOUND")</f>
        <v>44153</v>
      </c>
      <c r="E141" s="24" t="s">
        <v>39</v>
      </c>
      <c r="F141" s="24">
        <v>7</v>
      </c>
      <c r="G141" s="33" t="str">
        <f>_xlfn.XLOOKUP(A141,'Reference Master List'!$A:$A,'Reference Master List'!$E:$E,"NOT FOUND")</f>
        <v>https://www.esd.whs.mil/Portals/54/Documents/DD/issuances/dodi/500088p.PDF?ver=O8LFc8NzlyJX-SgM2Haalw%3d%3d</v>
      </c>
    </row>
    <row r="142" spans="1:7" x14ac:dyDescent="0.25">
      <c r="A142" s="32" t="s">
        <v>4</v>
      </c>
      <c r="B142" s="21" t="str">
        <f>_xlfn.XLOOKUP(A142,'Reference Master List'!$A:$A,'Reference Master List'!$B:$B,"NOT FOUND")</f>
        <v>Engineering of Defense Systems</v>
      </c>
      <c r="C142" s="22" t="s">
        <v>144</v>
      </c>
      <c r="D142" s="23">
        <f>_xlfn.XLOOKUP(A142,'Reference Master List'!$A:$A,'Reference Master List'!$D:$D,"NOT FOUND")</f>
        <v>44153</v>
      </c>
      <c r="E142" s="24" t="s">
        <v>39</v>
      </c>
      <c r="F142" s="24">
        <v>7</v>
      </c>
      <c r="G142" s="33" t="str">
        <f>_xlfn.XLOOKUP(A142,'Reference Master List'!$A:$A,'Reference Master List'!$E:$E,"NOT FOUND")</f>
        <v>https://www.esd.whs.mil/Portals/54/Documents/DD/issuances/dodi/500088p.PDF?ver=O8LFc8NzlyJX-SgM2Haalw%3d%3d</v>
      </c>
    </row>
    <row r="143" spans="1:7" x14ac:dyDescent="0.25">
      <c r="A143" s="32" t="s">
        <v>4</v>
      </c>
      <c r="B143" s="21" t="str">
        <f>_xlfn.XLOOKUP(A143,'Reference Master List'!$A:$A,'Reference Master List'!$B:$B,"NOT FOUND")</f>
        <v>Engineering of Defense Systems</v>
      </c>
      <c r="C143" s="22" t="s">
        <v>94</v>
      </c>
      <c r="D143" s="23">
        <f>_xlfn.XLOOKUP(A143,'Reference Master List'!$A:$A,'Reference Master List'!$D:$D,"NOT FOUND")</f>
        <v>44153</v>
      </c>
      <c r="E143" s="24" t="s">
        <v>39</v>
      </c>
      <c r="F143" s="24">
        <v>7</v>
      </c>
      <c r="G143" s="33" t="str">
        <f>_xlfn.XLOOKUP(A143,'Reference Master List'!$A:$A,'Reference Master List'!$E:$E,"NOT FOUND")</f>
        <v>https://www.esd.whs.mil/Portals/54/Documents/DD/issuances/dodi/500088p.PDF?ver=O8LFc8NzlyJX-SgM2Haalw%3d%3d</v>
      </c>
    </row>
    <row r="144" spans="1:7" ht="45" x14ac:dyDescent="0.25">
      <c r="A144" s="32" t="s">
        <v>0</v>
      </c>
      <c r="B144" s="21" t="str">
        <f>_xlfn.XLOOKUP(A144,'Reference Master List'!$A:$A,'Reference Master List'!$B:$B,"NOT FOUND")</f>
        <v>Product Support Management for the Adaptive Acquisition  Framework</v>
      </c>
      <c r="C144" s="22" t="s">
        <v>185</v>
      </c>
      <c r="D144" s="23">
        <f>_xlfn.XLOOKUP(A144,'Reference Master List'!$A:$A,'Reference Master List'!$D:$D,"NOT FOUND")</f>
        <v>44504</v>
      </c>
      <c r="E144" s="24" t="s">
        <v>39</v>
      </c>
      <c r="F144" s="24">
        <v>7</v>
      </c>
      <c r="G144" s="33" t="str">
        <f>_xlfn.XLOOKUP(A144,'Reference Master List'!$A:$A,'Reference Master List'!$E:$E,"NOT FOUND")</f>
        <v>https://www.esd.whs.mil/Portals/54/Documents/DD/issuances/dodi/500091p.PDF?ver=qk1slCU3Y0c1acIDocWyJA%3d%3d</v>
      </c>
    </row>
    <row r="145" spans="1:7" ht="30" x14ac:dyDescent="0.25">
      <c r="A145" s="32" t="s">
        <v>1</v>
      </c>
      <c r="B145" s="21" t="str">
        <f>_xlfn.XLOOKUP(A145,'Reference Master List'!$A:$A,'Reference Master List'!$B:$B,"NOT FOUND")</f>
        <v>Operation of the Middle Tier of Acquisition (MTA)</v>
      </c>
      <c r="C145" s="22" t="s">
        <v>92</v>
      </c>
      <c r="D145" s="23">
        <f>_xlfn.XLOOKUP(A145,'Reference Master List'!$A:$A,'Reference Master List'!$D:$D,"NOT FOUND")</f>
        <v>45621</v>
      </c>
      <c r="E145" s="24" t="s">
        <v>39</v>
      </c>
      <c r="F145" s="24">
        <v>8</v>
      </c>
      <c r="G145" s="33" t="str">
        <f>_xlfn.XLOOKUP(A145,'Reference Master List'!$A:$A,'Reference Master List'!$E:$E,"NOT FOUND")</f>
        <v>https://www.esd.whs.mil/Portals/54/Documents/DD/issuances/dodi/500080p.PDF?ver=QsDA5aJ20jnMMxhx1z5mJQ%3d%3d</v>
      </c>
    </row>
    <row r="146" spans="1:7" x14ac:dyDescent="0.25">
      <c r="A146" s="32" t="s">
        <v>4</v>
      </c>
      <c r="B146" s="21" t="str">
        <f>_xlfn.XLOOKUP(A146,'Reference Master List'!$A:$A,'Reference Master List'!$B:$B,"NOT FOUND")</f>
        <v>Engineering of Defense Systems</v>
      </c>
      <c r="C146" s="22" t="s">
        <v>186</v>
      </c>
      <c r="D146" s="23">
        <f>_xlfn.XLOOKUP(A146,'Reference Master List'!$A:$A,'Reference Master List'!$D:$D,"NOT FOUND")</f>
        <v>44153</v>
      </c>
      <c r="E146" s="24" t="s">
        <v>39</v>
      </c>
      <c r="F146" s="24">
        <v>8</v>
      </c>
      <c r="G146" s="33" t="str">
        <f>_xlfn.XLOOKUP(A146,'Reference Master List'!$A:$A,'Reference Master List'!$E:$E,"NOT FOUND")</f>
        <v>https://www.esd.whs.mil/Portals/54/Documents/DD/issuances/dodi/500088p.PDF?ver=O8LFc8NzlyJX-SgM2Haalw%3d%3d</v>
      </c>
    </row>
    <row r="147" spans="1:7" ht="45" x14ac:dyDescent="0.25">
      <c r="A147" s="32" t="s">
        <v>0</v>
      </c>
      <c r="B147" s="21" t="str">
        <f>_xlfn.XLOOKUP(A147,'Reference Master List'!$A:$A,'Reference Master List'!$B:$B,"NOT FOUND")</f>
        <v>Product Support Management for the Adaptive Acquisition  Framework</v>
      </c>
      <c r="C147" s="22" t="s">
        <v>161</v>
      </c>
      <c r="D147" s="23">
        <f>_xlfn.XLOOKUP(A147,'Reference Master List'!$A:$A,'Reference Master List'!$D:$D,"NOT FOUND")</f>
        <v>44504</v>
      </c>
      <c r="E147" s="24" t="s">
        <v>39</v>
      </c>
      <c r="F147" s="24">
        <v>8</v>
      </c>
      <c r="G147" s="33" t="str">
        <f>_xlfn.XLOOKUP(A147,'Reference Master List'!$A:$A,'Reference Master List'!$E:$E,"NOT FOUND")</f>
        <v>https://www.esd.whs.mil/Portals/54/Documents/DD/issuances/dodi/500091p.PDF?ver=qk1slCU3Y0c1acIDocWyJA%3d%3d</v>
      </c>
    </row>
    <row r="148" spans="1:7" x14ac:dyDescent="0.25">
      <c r="A148" s="32" t="s">
        <v>314</v>
      </c>
      <c r="B148" s="21" t="str">
        <f>_xlfn.XLOOKUP(A148,'Reference Master List'!$A:$A,'Reference Master List'!$B:$B,"NOT FOUND")</f>
        <v>The Defense Acquisition System</v>
      </c>
      <c r="C148" s="22" t="s">
        <v>88</v>
      </c>
      <c r="D148" s="23">
        <f>_xlfn.XLOOKUP(A148,'Reference Master List'!$A:$A,'Reference Master List'!$D:$D,"NOT FOUND")</f>
        <v>44770</v>
      </c>
      <c r="E148" s="24" t="s">
        <v>39</v>
      </c>
      <c r="F148" s="24">
        <v>9</v>
      </c>
      <c r="G148" s="33" t="str">
        <f>_xlfn.XLOOKUP(A148,'Reference Master List'!$A:$A,'Reference Master List'!$E:$E,"NOT FOUND")</f>
        <v>https://www.esd.whs.mil/Portals/54/Documents/DD/issuances/dodd/500001p.pdf?ver=IxP_j399Em4zTd4PqFjuTQ%3d%3d</v>
      </c>
    </row>
    <row r="149" spans="1:7" x14ac:dyDescent="0.25">
      <c r="A149" s="32" t="s">
        <v>4</v>
      </c>
      <c r="B149" s="21" t="str">
        <f>_xlfn.XLOOKUP(A149,'Reference Master List'!$A:$A,'Reference Master List'!$B:$B,"NOT FOUND")</f>
        <v>Engineering of Defense Systems</v>
      </c>
      <c r="C149" s="22" t="s">
        <v>118</v>
      </c>
      <c r="D149" s="23">
        <f>_xlfn.XLOOKUP(A149,'Reference Master List'!$A:$A,'Reference Master List'!$D:$D,"NOT FOUND")</f>
        <v>44153</v>
      </c>
      <c r="E149" s="24" t="s">
        <v>39</v>
      </c>
      <c r="F149" s="24">
        <v>9</v>
      </c>
      <c r="G149" s="33" t="str">
        <f>_xlfn.XLOOKUP(A149,'Reference Master List'!$A:$A,'Reference Master List'!$E:$E,"NOT FOUND")</f>
        <v>https://www.esd.whs.mil/Portals/54/Documents/DD/issuances/dodi/500088p.PDF?ver=O8LFc8NzlyJX-SgM2Haalw%3d%3d</v>
      </c>
    </row>
    <row r="150" spans="1:7" ht="45" x14ac:dyDescent="0.25">
      <c r="A150" s="32" t="s">
        <v>0</v>
      </c>
      <c r="B150" s="21" t="str">
        <f>_xlfn.XLOOKUP(A150,'Reference Master List'!$A:$A,'Reference Master List'!$B:$B,"NOT FOUND")</f>
        <v>Product Support Management for the Adaptive Acquisition  Framework</v>
      </c>
      <c r="C150" s="22" t="s">
        <v>102</v>
      </c>
      <c r="D150" s="23">
        <f>_xlfn.XLOOKUP(A150,'Reference Master List'!$A:$A,'Reference Master List'!$D:$D,"NOT FOUND")</f>
        <v>44504</v>
      </c>
      <c r="E150" s="24" t="s">
        <v>39</v>
      </c>
      <c r="F150" s="24">
        <v>9</v>
      </c>
      <c r="G150" s="33" t="str">
        <f>_xlfn.XLOOKUP(A150,'Reference Master List'!$A:$A,'Reference Master List'!$E:$E,"NOT FOUND")</f>
        <v>https://www.esd.whs.mil/Portals/54/Documents/DD/issuances/dodi/500091p.PDF?ver=qk1slCU3Y0c1acIDocWyJA%3d%3d</v>
      </c>
    </row>
    <row r="151" spans="1:7" x14ac:dyDescent="0.25">
      <c r="A151" s="32" t="s">
        <v>314</v>
      </c>
      <c r="B151" s="21" t="str">
        <f>_xlfn.XLOOKUP(A151,'Reference Master List'!$A:$A,'Reference Master List'!$B:$B,"NOT FOUND")</f>
        <v>The Defense Acquisition System</v>
      </c>
      <c r="C151" s="22" t="s">
        <v>88</v>
      </c>
      <c r="D151" s="23">
        <f>_xlfn.XLOOKUP(A151,'Reference Master List'!$A:$A,'Reference Master List'!$D:$D,"NOT FOUND")</f>
        <v>44770</v>
      </c>
      <c r="E151" s="24" t="s">
        <v>39</v>
      </c>
      <c r="F151" s="24">
        <v>9.1</v>
      </c>
      <c r="G151" s="33" t="str">
        <f>_xlfn.XLOOKUP(A151,'Reference Master List'!$A:$A,'Reference Master List'!$E:$E,"NOT FOUND")</f>
        <v>https://www.esd.whs.mil/Portals/54/Documents/DD/issuances/dodd/500001p.pdf?ver=IxP_j399Em4zTd4PqFjuTQ%3d%3d</v>
      </c>
    </row>
    <row r="152" spans="1:7" ht="45" x14ac:dyDescent="0.25">
      <c r="A152" s="32" t="s">
        <v>0</v>
      </c>
      <c r="B152" s="21" t="str">
        <f>_xlfn.XLOOKUP(A152,'Reference Master List'!$A:$A,'Reference Master List'!$B:$B,"NOT FOUND")</f>
        <v>Product Support Management for the Adaptive Acquisition  Framework</v>
      </c>
      <c r="C152" s="22" t="s">
        <v>106</v>
      </c>
      <c r="D152" s="23">
        <f>_xlfn.XLOOKUP(A152,'Reference Master List'!$A:$A,'Reference Master List'!$D:$D,"NOT FOUND")</f>
        <v>44504</v>
      </c>
      <c r="E152" s="24" t="s">
        <v>39</v>
      </c>
      <c r="F152" s="24">
        <v>9.1</v>
      </c>
      <c r="G152" s="33" t="str">
        <f>_xlfn.XLOOKUP(A152,'Reference Master List'!$A:$A,'Reference Master List'!$E:$E,"NOT FOUND")</f>
        <v>https://www.esd.whs.mil/Portals/54/Documents/DD/issuances/dodi/500091p.PDF?ver=qk1slCU3Y0c1acIDocWyJA%3d%3d</v>
      </c>
    </row>
    <row r="153" spans="1:7" ht="45" x14ac:dyDescent="0.25">
      <c r="A153" s="32" t="s">
        <v>0</v>
      </c>
      <c r="B153" s="21" t="str">
        <f>_xlfn.XLOOKUP(A153,'Reference Master List'!$A:$A,'Reference Master List'!$B:$B,"NOT FOUND")</f>
        <v>Product Support Management for the Adaptive Acquisition  Framework</v>
      </c>
      <c r="C153" s="22">
        <v>4.2</v>
      </c>
      <c r="D153" s="23">
        <f>_xlfn.XLOOKUP(A153,'Reference Master List'!$A:$A,'Reference Master List'!$D:$D,"NOT FOUND")</f>
        <v>44504</v>
      </c>
      <c r="E153" s="24" t="s">
        <v>39</v>
      </c>
      <c r="F153" s="24">
        <v>9.1999999999999993</v>
      </c>
      <c r="G153" s="33" t="str">
        <f>_xlfn.XLOOKUP(A153,'Reference Master List'!$A:$A,'Reference Master List'!$E:$E,"NOT FOUND")</f>
        <v>https://www.esd.whs.mil/Portals/54/Documents/DD/issuances/dodi/500091p.PDF?ver=qk1slCU3Y0c1acIDocWyJA%3d%3d</v>
      </c>
    </row>
    <row r="154" spans="1:7" ht="30" x14ac:dyDescent="0.25">
      <c r="A154" s="32" t="s">
        <v>11</v>
      </c>
      <c r="B154" s="21" t="str">
        <f>_xlfn.XLOOKUP(A154,'Reference Master List'!$A:$A,'Reference Master List'!$B:$B,"NOT FOUND")</f>
        <v>Cost Analysis Guidance and Procedures</v>
      </c>
      <c r="C154" s="22" t="s">
        <v>187</v>
      </c>
      <c r="D154" s="23">
        <f>_xlfn.XLOOKUP(A154,'Reference Master List'!$A:$A,'Reference Master List'!$D:$D,"NOT FOUND")</f>
        <v>45589</v>
      </c>
      <c r="E154" s="24" t="s">
        <v>39</v>
      </c>
      <c r="F154" s="24" t="s">
        <v>188</v>
      </c>
      <c r="G154" s="33" t="str">
        <f>_xlfn.XLOOKUP(A154,'Reference Master List'!$A:$A,'Reference Master List'!$E:$E,"NOT FOUND")</f>
        <v>https://www.esd.whs.mil/Portals/54/Documents/DD/issuances/dodi/500073p.pdf?ver=Mekug5erzBO86eUqBSaeaw%3d%3d</v>
      </c>
    </row>
    <row r="155" spans="1:7" ht="30" x14ac:dyDescent="0.25">
      <c r="A155" s="32" t="s">
        <v>11</v>
      </c>
      <c r="B155" s="21" t="str">
        <f>_xlfn.XLOOKUP(A155,'Reference Master List'!$A:$A,'Reference Master List'!$B:$B,"NOT FOUND")</f>
        <v>Cost Analysis Guidance and Procedures</v>
      </c>
      <c r="C155" s="22" t="s">
        <v>189</v>
      </c>
      <c r="D155" s="23">
        <f>_xlfn.XLOOKUP(A155,'Reference Master List'!$A:$A,'Reference Master List'!$D:$D,"NOT FOUND")</f>
        <v>45589</v>
      </c>
      <c r="E155" s="24" t="s">
        <v>39</v>
      </c>
      <c r="F155" s="24" t="s">
        <v>188</v>
      </c>
      <c r="G155" s="33" t="str">
        <f>_xlfn.XLOOKUP(A155,'Reference Master List'!$A:$A,'Reference Master List'!$E:$E,"NOT FOUND")</f>
        <v>https://www.esd.whs.mil/Portals/54/Documents/DD/issuances/dodi/500073p.pdf?ver=Mekug5erzBO86eUqBSaeaw%3d%3d</v>
      </c>
    </row>
    <row r="156" spans="1:7" ht="45" x14ac:dyDescent="0.25">
      <c r="A156" s="32" t="s">
        <v>0</v>
      </c>
      <c r="B156" s="21" t="str">
        <f>_xlfn.XLOOKUP(A156,'Reference Master List'!$A:$A,'Reference Master List'!$B:$B,"NOT FOUND")</f>
        <v>Product Support Management for the Adaptive Acquisition  Framework</v>
      </c>
      <c r="C156" s="22" t="s">
        <v>101</v>
      </c>
      <c r="D156" s="23">
        <f>_xlfn.XLOOKUP(A156,'Reference Master List'!$A:$A,'Reference Master List'!$D:$D,"NOT FOUND")</f>
        <v>44504</v>
      </c>
      <c r="E156" s="24" t="s">
        <v>39</v>
      </c>
      <c r="F156" s="24" t="s">
        <v>188</v>
      </c>
      <c r="G156" s="33" t="str">
        <f>_xlfn.XLOOKUP(A156,'Reference Master List'!$A:$A,'Reference Master List'!$E:$E,"NOT FOUND")</f>
        <v>https://www.esd.whs.mil/Portals/54/Documents/DD/issuances/dodi/500091p.PDF?ver=qk1slCU3Y0c1acIDocWyJA%3d%3d</v>
      </c>
    </row>
    <row r="157" spans="1:7" ht="30" x14ac:dyDescent="0.25">
      <c r="A157" s="32" t="s">
        <v>5</v>
      </c>
      <c r="B157" s="21" t="str">
        <f>_xlfn.XLOOKUP(A157,'Reference Master List'!$A:$A,'Reference Master List'!$B:$B,"NOT FOUND")</f>
        <v>DoD Supply Chain Materiel Management Policy</v>
      </c>
      <c r="C157" s="22" t="s">
        <v>166</v>
      </c>
      <c r="D157" s="23">
        <f>_xlfn.XLOOKUP(A157,'Reference Master List'!$A:$A,'Reference Master List'!$D:$D,"NOT FOUND")</f>
        <v>43530</v>
      </c>
      <c r="E157" s="24" t="s">
        <v>39</v>
      </c>
      <c r="F157" s="24" t="s">
        <v>190</v>
      </c>
      <c r="G157" s="33" t="str">
        <f>_xlfn.XLOOKUP(A157,'Reference Master List'!$A:$A,'Reference Master List'!$E:$E,"NOT FOUND")</f>
        <v>https://www.esd.whs.mil/Portals/54/Documents/DD/issuances/dodi/414001p.PDF?ver=x3uRuJnmOdRqFqi2XkEYrQ%3d%3d</v>
      </c>
    </row>
    <row r="158" spans="1:7" ht="45" x14ac:dyDescent="0.25">
      <c r="A158" s="32" t="s">
        <v>0</v>
      </c>
      <c r="B158" s="21" t="str">
        <f>_xlfn.XLOOKUP(A158,'Reference Master List'!$A:$A,'Reference Master List'!$B:$B,"NOT FOUND")</f>
        <v>Product Support Management for the Adaptive Acquisition  Framework</v>
      </c>
      <c r="C158" s="22">
        <v>4.8</v>
      </c>
      <c r="D158" s="23">
        <f>_xlfn.XLOOKUP(A158,'Reference Master List'!$A:$A,'Reference Master List'!$D:$D,"NOT FOUND")</f>
        <v>44504</v>
      </c>
      <c r="E158" s="24" t="s">
        <v>39</v>
      </c>
      <c r="F158" s="24" t="s">
        <v>190</v>
      </c>
      <c r="G158" s="33" t="str">
        <f>_xlfn.XLOOKUP(A158,'Reference Master List'!$A:$A,'Reference Master List'!$E:$E,"NOT FOUND")</f>
        <v>https://www.esd.whs.mil/Portals/54/Documents/DD/issuances/dodi/500091p.PDF?ver=qk1slCU3Y0c1acIDocWyJA%3d%3d</v>
      </c>
    </row>
    <row r="159" spans="1:7" ht="45" x14ac:dyDescent="0.25">
      <c r="A159" s="32" t="s">
        <v>0</v>
      </c>
      <c r="B159" s="21" t="str">
        <f>_xlfn.XLOOKUP(A159,'Reference Master List'!$A:$A,'Reference Master List'!$B:$B,"NOT FOUND")</f>
        <v>Product Support Management for the Adaptive Acquisition  Framework</v>
      </c>
      <c r="C159" s="22" t="s">
        <v>156</v>
      </c>
      <c r="D159" s="23">
        <f>_xlfn.XLOOKUP(A159,'Reference Master List'!$A:$A,'Reference Master List'!$D:$D,"NOT FOUND")</f>
        <v>44504</v>
      </c>
      <c r="E159" s="24" t="s">
        <v>39</v>
      </c>
      <c r="F159" s="24" t="s">
        <v>190</v>
      </c>
      <c r="G159" s="33" t="str">
        <f>_xlfn.XLOOKUP(A159,'Reference Master List'!$A:$A,'Reference Master List'!$E:$E,"NOT FOUND")</f>
        <v>https://www.esd.whs.mil/Portals/54/Documents/DD/issuances/dodi/500091p.PDF?ver=qk1slCU3Y0c1acIDocWyJA%3d%3d</v>
      </c>
    </row>
    <row r="160" spans="1:7" x14ac:dyDescent="0.25">
      <c r="A160" s="32" t="s">
        <v>314</v>
      </c>
      <c r="B160" s="21" t="str">
        <f>_xlfn.XLOOKUP(A160,'Reference Master List'!$A:$A,'Reference Master List'!$B:$B,"NOT FOUND")</f>
        <v>The Defense Acquisition System</v>
      </c>
      <c r="C160" s="22" t="s">
        <v>88</v>
      </c>
      <c r="D160" s="23">
        <f>_xlfn.XLOOKUP(A160,'Reference Master List'!$A:$A,'Reference Master List'!$D:$D,"NOT FOUND")</f>
        <v>44770</v>
      </c>
      <c r="E160" s="24" t="s">
        <v>39</v>
      </c>
      <c r="F160" s="24">
        <v>10</v>
      </c>
      <c r="G160" s="33" t="str">
        <f>_xlfn.XLOOKUP(A160,'Reference Master List'!$A:$A,'Reference Master List'!$E:$E,"NOT FOUND")</f>
        <v>https://www.esd.whs.mil/Portals/54/Documents/DD/issuances/dodd/500001p.pdf?ver=IxP_j399Em4zTd4PqFjuTQ%3d%3d</v>
      </c>
    </row>
    <row r="161" spans="1:7" x14ac:dyDescent="0.25">
      <c r="A161" s="32" t="s">
        <v>314</v>
      </c>
      <c r="B161" s="21" t="str">
        <f>_xlfn.XLOOKUP(A161,'Reference Master List'!$A:$A,'Reference Master List'!$B:$B,"NOT FOUND")</f>
        <v>The Defense Acquisition System</v>
      </c>
      <c r="C161" s="22" t="s">
        <v>140</v>
      </c>
      <c r="D161" s="23">
        <f>_xlfn.XLOOKUP(A161,'Reference Master List'!$A:$A,'Reference Master List'!$D:$D,"NOT FOUND")</f>
        <v>44770</v>
      </c>
      <c r="E161" s="24" t="s">
        <v>39</v>
      </c>
      <c r="F161" s="24">
        <v>10</v>
      </c>
      <c r="G161" s="33" t="str">
        <f>_xlfn.XLOOKUP(A161,'Reference Master List'!$A:$A,'Reference Master List'!$E:$E,"NOT FOUND")</f>
        <v>https://www.esd.whs.mil/Portals/54/Documents/DD/issuances/dodd/500001p.pdf?ver=IxP_j399Em4zTd4PqFjuTQ%3d%3d</v>
      </c>
    </row>
    <row r="162" spans="1:7" ht="30" x14ac:dyDescent="0.25">
      <c r="A162" s="32" t="s">
        <v>1</v>
      </c>
      <c r="B162" s="21" t="str">
        <f>_xlfn.XLOOKUP(A162,'Reference Master List'!$A:$A,'Reference Master List'!$B:$B,"NOT FOUND")</f>
        <v>Operation of the Middle Tier of Acquisition (MTA)</v>
      </c>
      <c r="C162" s="22" t="s">
        <v>92</v>
      </c>
      <c r="D162" s="23">
        <f>_xlfn.XLOOKUP(A162,'Reference Master List'!$A:$A,'Reference Master List'!$D:$D,"NOT FOUND")</f>
        <v>45621</v>
      </c>
      <c r="E162" s="24" t="s">
        <v>39</v>
      </c>
      <c r="F162" s="24">
        <v>10</v>
      </c>
      <c r="G162" s="33" t="str">
        <f>_xlfn.XLOOKUP(A162,'Reference Master List'!$A:$A,'Reference Master List'!$E:$E,"NOT FOUND")</f>
        <v>https://www.esd.whs.mil/Portals/54/Documents/DD/issuances/dodi/500080p.PDF?ver=QsDA5aJ20jnMMxhx1z5mJQ%3d%3d</v>
      </c>
    </row>
    <row r="163" spans="1:7" x14ac:dyDescent="0.25">
      <c r="A163" s="32" t="s">
        <v>4</v>
      </c>
      <c r="B163" s="21" t="str">
        <f>_xlfn.XLOOKUP(A163,'Reference Master List'!$A:$A,'Reference Master List'!$B:$B,"NOT FOUND")</f>
        <v>Engineering of Defense Systems</v>
      </c>
      <c r="C163" s="22" t="s">
        <v>116</v>
      </c>
      <c r="D163" s="23">
        <f>_xlfn.XLOOKUP(A163,'Reference Master List'!$A:$A,'Reference Master List'!$D:$D,"NOT FOUND")</f>
        <v>44153</v>
      </c>
      <c r="E163" s="24" t="s">
        <v>39</v>
      </c>
      <c r="F163" s="24">
        <v>10</v>
      </c>
      <c r="G163" s="33" t="str">
        <f>_xlfn.XLOOKUP(A163,'Reference Master List'!$A:$A,'Reference Master List'!$E:$E,"NOT FOUND")</f>
        <v>https://www.esd.whs.mil/Portals/54/Documents/DD/issuances/dodi/500088p.PDF?ver=O8LFc8NzlyJX-SgM2Haalw%3d%3d</v>
      </c>
    </row>
    <row r="164" spans="1:7" x14ac:dyDescent="0.25">
      <c r="A164" s="32" t="s">
        <v>4</v>
      </c>
      <c r="B164" s="21" t="str">
        <f>_xlfn.XLOOKUP(A164,'Reference Master List'!$A:$A,'Reference Master List'!$B:$B,"NOT FOUND")</f>
        <v>Engineering of Defense Systems</v>
      </c>
      <c r="C164" s="22" t="s">
        <v>144</v>
      </c>
      <c r="D164" s="23">
        <f>_xlfn.XLOOKUP(A164,'Reference Master List'!$A:$A,'Reference Master List'!$D:$D,"NOT FOUND")</f>
        <v>44153</v>
      </c>
      <c r="E164" s="24" t="s">
        <v>39</v>
      </c>
      <c r="F164" s="24">
        <v>10</v>
      </c>
      <c r="G164" s="33" t="str">
        <f>_xlfn.XLOOKUP(A164,'Reference Master List'!$A:$A,'Reference Master List'!$E:$E,"NOT FOUND")</f>
        <v>https://www.esd.whs.mil/Portals/54/Documents/DD/issuances/dodi/500088p.PDF?ver=O8LFc8NzlyJX-SgM2Haalw%3d%3d</v>
      </c>
    </row>
    <row r="165" spans="1:7" x14ac:dyDescent="0.25">
      <c r="A165" s="32" t="s">
        <v>4</v>
      </c>
      <c r="B165" s="21" t="str">
        <f>_xlfn.XLOOKUP(A165,'Reference Master List'!$A:$A,'Reference Master List'!$B:$B,"NOT FOUND")</f>
        <v>Engineering of Defense Systems</v>
      </c>
      <c r="C165" s="22" t="s">
        <v>159</v>
      </c>
      <c r="D165" s="23">
        <f>_xlfn.XLOOKUP(A165,'Reference Master List'!$A:$A,'Reference Master List'!$D:$D,"NOT FOUND")</f>
        <v>44153</v>
      </c>
      <c r="E165" s="24" t="s">
        <v>39</v>
      </c>
      <c r="F165" s="24">
        <v>10</v>
      </c>
      <c r="G165" s="33" t="str">
        <f>_xlfn.XLOOKUP(A165,'Reference Master List'!$A:$A,'Reference Master List'!$E:$E,"NOT FOUND")</f>
        <v>https://www.esd.whs.mil/Portals/54/Documents/DD/issuances/dodi/500088p.PDF?ver=O8LFc8NzlyJX-SgM2Haalw%3d%3d</v>
      </c>
    </row>
    <row r="166" spans="1:7" ht="45" x14ac:dyDescent="0.25">
      <c r="A166" s="32" t="s">
        <v>0</v>
      </c>
      <c r="B166" s="21" t="str">
        <f>_xlfn.XLOOKUP(A166,'Reference Master List'!$A:$A,'Reference Master List'!$B:$B,"NOT FOUND")</f>
        <v>Product Support Management for the Adaptive Acquisition  Framework</v>
      </c>
      <c r="C166" s="22" t="s">
        <v>191</v>
      </c>
      <c r="D166" s="23">
        <f>_xlfn.XLOOKUP(A166,'Reference Master List'!$A:$A,'Reference Master List'!$D:$D,"NOT FOUND")</f>
        <v>44504</v>
      </c>
      <c r="E166" s="24" t="s">
        <v>39</v>
      </c>
      <c r="F166" s="24">
        <v>10</v>
      </c>
      <c r="G166" s="33" t="str">
        <f>_xlfn.XLOOKUP(A166,'Reference Master List'!$A:$A,'Reference Master List'!$E:$E,"NOT FOUND")</f>
        <v>https://www.esd.whs.mil/Portals/54/Documents/DD/issuances/dodi/500091p.PDF?ver=qk1slCU3Y0c1acIDocWyJA%3d%3d</v>
      </c>
    </row>
    <row r="167" spans="1:7" x14ac:dyDescent="0.25">
      <c r="A167" s="32" t="s">
        <v>2</v>
      </c>
      <c r="B167" s="21" t="str">
        <f>_xlfn.XLOOKUP(A167,'Reference Master List'!$A:$A,'Reference Master List'!$B:$B,"NOT FOUND")</f>
        <v>Defense Acquisition of Services</v>
      </c>
      <c r="C167" s="22" t="s">
        <v>165</v>
      </c>
      <c r="D167" s="23">
        <f>_xlfn.XLOOKUP(A167,'Reference Master List'!$A:$A,'Reference Master List'!$D:$D,"NOT FOUND")</f>
        <v>44371</v>
      </c>
      <c r="E167" s="24" t="s">
        <v>39</v>
      </c>
      <c r="F167" s="24">
        <v>10.1</v>
      </c>
      <c r="G167" s="33" t="str">
        <f>_xlfn.XLOOKUP(A167,'Reference Master List'!$A:$A,'Reference Master List'!$E:$E,"NOT FOUND")</f>
        <v>https://www.esd.whs.mil/Portals/54/Documents/DD/issuances/dodi/500074p.pdf?ver=IZVR50IvjWDdP81SFWQh5Q%3d%3d</v>
      </c>
    </row>
    <row r="168" spans="1:7" ht="45" x14ac:dyDescent="0.25">
      <c r="A168" s="32" t="s">
        <v>0</v>
      </c>
      <c r="B168" s="21" t="str">
        <f>_xlfn.XLOOKUP(A168,'Reference Master List'!$A:$A,'Reference Master List'!$B:$B,"NOT FOUND")</f>
        <v>Product Support Management for the Adaptive Acquisition  Framework</v>
      </c>
      <c r="C168" s="22" t="s">
        <v>96</v>
      </c>
      <c r="D168" s="23">
        <f>_xlfn.XLOOKUP(A168,'Reference Master List'!$A:$A,'Reference Master List'!$D:$D,"NOT FOUND")</f>
        <v>44504</v>
      </c>
      <c r="E168" s="24" t="s">
        <v>39</v>
      </c>
      <c r="F168" s="24">
        <v>10.1</v>
      </c>
      <c r="G168" s="33" t="str">
        <f>_xlfn.XLOOKUP(A168,'Reference Master List'!$A:$A,'Reference Master List'!$E:$E,"NOT FOUND")</f>
        <v>https://www.esd.whs.mil/Portals/54/Documents/DD/issuances/dodi/500091p.PDF?ver=qk1slCU3Y0c1acIDocWyJA%3d%3d</v>
      </c>
    </row>
    <row r="169" spans="1:7" ht="45" x14ac:dyDescent="0.25">
      <c r="A169" s="32" t="s">
        <v>0</v>
      </c>
      <c r="B169" s="21" t="str">
        <f>_xlfn.XLOOKUP(A169,'Reference Master List'!$A:$A,'Reference Master List'!$B:$B,"NOT FOUND")</f>
        <v>Product Support Management for the Adaptive Acquisition  Framework</v>
      </c>
      <c r="C169" s="22" t="s">
        <v>105</v>
      </c>
      <c r="D169" s="23">
        <f>_xlfn.XLOOKUP(A169,'Reference Master List'!$A:$A,'Reference Master List'!$D:$D,"NOT FOUND")</f>
        <v>44504</v>
      </c>
      <c r="E169" s="24" t="s">
        <v>39</v>
      </c>
      <c r="F169" s="24">
        <v>10.199999999999999</v>
      </c>
      <c r="G169" s="33" t="str">
        <f>_xlfn.XLOOKUP(A169,'Reference Master List'!$A:$A,'Reference Master List'!$E:$E,"NOT FOUND")</f>
        <v>https://www.esd.whs.mil/Portals/54/Documents/DD/issuances/dodi/500091p.PDF?ver=qk1slCU3Y0c1acIDocWyJA%3d%3d</v>
      </c>
    </row>
    <row r="170" spans="1:7" ht="30" hidden="1" x14ac:dyDescent="0.25">
      <c r="A170" s="34" t="s">
        <v>396</v>
      </c>
      <c r="B170" s="21" t="str">
        <f>_xlfn.XLOOKUP(A170,'Reference Master List'!$A:$A,'Reference Master List'!$B:$B,"NOT FOUND")</f>
        <v>Integrated Product Support (IPS)
Elements Guidebook</v>
      </c>
      <c r="C170" s="25" t="s">
        <v>80</v>
      </c>
      <c r="D170" s="23">
        <f>_xlfn.XLOOKUP(A170,'Reference Master List'!$A:$A,'Reference Master List'!$D:$D,"NOT FOUND")</f>
        <v>45292</v>
      </c>
      <c r="E170" s="24" t="s">
        <v>41</v>
      </c>
      <c r="F170" s="24">
        <v>1</v>
      </c>
      <c r="G170" s="35" t="str">
        <f>_xlfn.XLOOKUP(A170,'Reference Master List'!$A:$A,'Reference Master List'!$E:$E,"NOT FOUND")</f>
        <v>https://www.waru.edu/sites/default/files/2026-05/Integrated%20Product%20Support%20%28IPS%29%20Element-Guidebook%20v1.1b%20Update%205_2026.pdf</v>
      </c>
    </row>
    <row r="171" spans="1:7" ht="30" hidden="1" x14ac:dyDescent="0.25">
      <c r="A171" s="36" t="s">
        <v>402</v>
      </c>
      <c r="B171" s="21" t="str">
        <f>_xlfn.XLOOKUP(A171,'Reference Master List'!$A:$A,'Reference Master List'!$B:$B,"NOT FOUND")</f>
        <v>Product Support Manager Guidebook</v>
      </c>
      <c r="C171" s="22" t="s">
        <v>80</v>
      </c>
      <c r="D171" s="23">
        <f>_xlfn.XLOOKUP(A171,'Reference Master List'!$A:$A,'Reference Master List'!$D:$D,"NOT FOUND")</f>
        <v>44682</v>
      </c>
      <c r="E171" s="24" t="s">
        <v>41</v>
      </c>
      <c r="F171" s="24">
        <v>2</v>
      </c>
      <c r="G171" s="33" t="str">
        <f>_xlfn.XLOOKUP(A171,'Reference Master List'!$A:$A,'Reference Master List'!$E:$E,"NOT FOUND")</f>
        <v>https://www.waru.edu/sites/default/files/Migrated/ToolAttachments/Product-Support-Manager-%28PSM%29-Guidebook.pdf</v>
      </c>
    </row>
    <row r="172" spans="1:7" hidden="1" x14ac:dyDescent="0.25">
      <c r="A172" s="32" t="s">
        <v>12</v>
      </c>
      <c r="B172" s="21" t="str">
        <f>_xlfn.XLOOKUP(A172,'Reference Master List'!$A:$A,'Reference Master List'!$B:$B,"NOT FOUND")</f>
        <v>Urgent Capability Acquisition</v>
      </c>
      <c r="C172" s="25" t="s">
        <v>80</v>
      </c>
      <c r="D172" s="23">
        <f>_xlfn.XLOOKUP(A172,'Reference Master List'!$A:$A,'Reference Master List'!$D:$D,"NOT FOUND")</f>
        <v>43830</v>
      </c>
      <c r="E172" s="24" t="s">
        <v>41</v>
      </c>
      <c r="F172" s="24">
        <v>2.1</v>
      </c>
      <c r="G172" s="33" t="str">
        <f>_xlfn.XLOOKUP(A172,'Reference Master List'!$A:$A,'Reference Master List'!$E:$E,"NOT FOUND")</f>
        <v>https://www.esd.whs.mil/Portals/54/Documents/DD/issuances/dodi/500081p.PDF?ver=2019-12-31-133941-660</v>
      </c>
    </row>
    <row r="173" spans="1:7" ht="30" hidden="1" x14ac:dyDescent="0.25">
      <c r="A173" s="34" t="s">
        <v>13</v>
      </c>
      <c r="B173" s="21" t="str">
        <f>_xlfn.XLOOKUP(A173,'Reference Master List'!$A:$A,'Reference Master List'!$B:$B,"NOT FOUND")</f>
        <v>Integrated Life Cycle Management</v>
      </c>
      <c r="C173" s="22" t="s">
        <v>80</v>
      </c>
      <c r="D173" s="23">
        <f>_xlfn.XLOOKUP(A173,'Reference Master List'!$A:$A,'Reference Master List'!$D:$D,"NOT FOUND")</f>
        <v>45953</v>
      </c>
      <c r="E173" s="24" t="s">
        <v>41</v>
      </c>
      <c r="F173" s="24" t="s">
        <v>192</v>
      </c>
      <c r="G173" s="33" t="str">
        <f>_xlfn.XLOOKUP(A173,'Reference Master List'!$A:$A,'Reference Master List'!$E:$E,"NOT FOUND")</f>
        <v>https://static.e-publishing.af.mil/production/1/saf_aq/publication/dafi63-101_20-101/dafi63-101_20-101.pdf</v>
      </c>
    </row>
    <row r="174" spans="1:7" ht="30" hidden="1" x14ac:dyDescent="0.25">
      <c r="A174" s="34" t="s">
        <v>13</v>
      </c>
      <c r="B174" s="21" t="str">
        <f>_xlfn.XLOOKUP(A174,'Reference Master List'!$A:$A,'Reference Master List'!$B:$B,"NOT FOUND")</f>
        <v>Integrated Life Cycle Management</v>
      </c>
      <c r="C174" s="25" t="s">
        <v>80</v>
      </c>
      <c r="D174" s="23">
        <f>_xlfn.XLOOKUP(A174,'Reference Master List'!$A:$A,'Reference Master List'!$D:$D,"NOT FOUND")</f>
        <v>45953</v>
      </c>
      <c r="E174" s="24" t="s">
        <v>41</v>
      </c>
      <c r="F174" s="24" t="s">
        <v>193</v>
      </c>
      <c r="G174" s="33" t="str">
        <f>_xlfn.XLOOKUP(A174,'Reference Master List'!$A:$A,'Reference Master List'!$E:$E,"NOT FOUND")</f>
        <v>https://static.e-publishing.af.mil/production/1/saf_aq/publication/dafi63-101_20-101/dafi63-101_20-101.pdf</v>
      </c>
    </row>
    <row r="175" spans="1:7" ht="30" hidden="1" x14ac:dyDescent="0.25">
      <c r="A175" s="32" t="s">
        <v>14</v>
      </c>
      <c r="B175" s="21" t="str">
        <f>_xlfn.XLOOKUP(A175,'Reference Master List'!$A:$A,'Reference Master List'!$B:$B,"NOT FOUND")</f>
        <v>Configuration Management Guidance</v>
      </c>
      <c r="C175" s="25" t="s">
        <v>80</v>
      </c>
      <c r="D175" s="23">
        <f>_xlfn.XLOOKUP(A175,'Reference Master List'!$A:$A,'Reference Master List'!$D:$D,"NOT FOUND")</f>
        <v>45884</v>
      </c>
      <c r="E175" s="24" t="s">
        <v>41</v>
      </c>
      <c r="F175" s="24" t="s">
        <v>194</v>
      </c>
      <c r="G175" s="33" t="str">
        <f>_xlfn.XLOOKUP(A175,'Reference Master List'!$A:$A,'Reference Master List'!$E:$E,"NOT FOUND")</f>
        <v>https://quicksearch.dla.mil/Transient/4D9CE4ACB1B74FFC874DE57D349F3740.pdf</v>
      </c>
    </row>
    <row r="176" spans="1:7" ht="30" hidden="1" x14ac:dyDescent="0.25">
      <c r="A176" s="32" t="s">
        <v>54</v>
      </c>
      <c r="B176" s="21" t="str">
        <f>_xlfn.XLOOKUP(A176,'Reference Master List'!$A:$A,'Reference Master List'!$B:$B,"NOT FOUND")</f>
        <v>DISA Security Technical Implementation Guide Checklist</v>
      </c>
      <c r="C176" s="25" t="s">
        <v>80</v>
      </c>
      <c r="D176" s="23">
        <f>_xlfn.XLOOKUP(A176,'Reference Master List'!$A:$A,'Reference Master List'!$D:$D,"NOT FOUND")</f>
        <v>46213</v>
      </c>
      <c r="E176" s="24" t="s">
        <v>41</v>
      </c>
      <c r="F176" s="24" t="s">
        <v>194</v>
      </c>
      <c r="G176" s="33" t="str">
        <f>_xlfn.XLOOKUP(A176,'Reference Master List'!$A:$A,'Reference Master List'!$E:$E,"NOT FOUND")</f>
        <v>https://www.cyber.mil/stigs/downloads</v>
      </c>
    </row>
    <row r="177" spans="1:7" hidden="1" x14ac:dyDescent="0.25">
      <c r="A177" s="32" t="s">
        <v>15</v>
      </c>
      <c r="B177" s="21" t="str">
        <f>_xlfn.XLOOKUP(A177,'Reference Master List'!$A:$A,'Reference Master List'!$B:$B,"NOT FOUND")</f>
        <v>Reliability Growth Management</v>
      </c>
      <c r="C177" s="25" t="s">
        <v>80</v>
      </c>
      <c r="D177" s="23">
        <f>_xlfn.XLOOKUP(A177,'Reference Master List'!$A:$A,'Reference Master List'!$D:$D,"NOT FOUND")</f>
        <v>42447</v>
      </c>
      <c r="E177" s="24" t="s">
        <v>41</v>
      </c>
      <c r="F177" s="24" t="s">
        <v>195</v>
      </c>
      <c r="G177" s="33" t="str">
        <f>_xlfn.XLOOKUP(A177,'Reference Master List'!$A:$A,'Reference Master List'!$E:$E,"NOT FOUND")</f>
        <v>https://quicksearch.dla.mil/Transient/62299454E1FF4E6082B94955AE748F38.pdf</v>
      </c>
    </row>
    <row r="178" spans="1:7" ht="30" hidden="1" x14ac:dyDescent="0.25">
      <c r="A178" s="34" t="s">
        <v>396</v>
      </c>
      <c r="B178" s="21" t="str">
        <f>_xlfn.XLOOKUP(A178,'Reference Master List'!$A:$A,'Reference Master List'!$B:$B,"NOT FOUND")</f>
        <v>Integrated Product Support (IPS)
Elements Guidebook</v>
      </c>
      <c r="C178" s="25" t="s">
        <v>80</v>
      </c>
      <c r="D178" s="23">
        <f>_xlfn.XLOOKUP(A178,'Reference Master List'!$A:$A,'Reference Master List'!$D:$D,"NOT FOUND")</f>
        <v>45292</v>
      </c>
      <c r="E178" s="24" t="s">
        <v>41</v>
      </c>
      <c r="F178" s="24" t="s">
        <v>197</v>
      </c>
      <c r="G178" s="35" t="str">
        <f>_xlfn.XLOOKUP(A178,'Reference Master List'!$A:$A,'Reference Master List'!$E:$E,"NOT FOUND")</f>
        <v>https://www.waru.edu/sites/default/files/2026-05/Integrated%20Product%20Support%20%28IPS%29%20Element-Guidebook%20v1.1b%20Update%205_2026.pdf</v>
      </c>
    </row>
    <row r="179" spans="1:7" ht="30" hidden="1" x14ac:dyDescent="0.25">
      <c r="A179" s="34" t="s">
        <v>396</v>
      </c>
      <c r="B179" s="21" t="str">
        <f>_xlfn.XLOOKUP(A179,'Reference Master List'!$A:$A,'Reference Master List'!$B:$B,"NOT FOUND")</f>
        <v>Integrated Product Support (IPS)
Elements Guidebook</v>
      </c>
      <c r="C179" s="25" t="s">
        <v>80</v>
      </c>
      <c r="D179" s="23">
        <f>_xlfn.XLOOKUP(A179,'Reference Master List'!$A:$A,'Reference Master List'!$D:$D,"NOT FOUND")</f>
        <v>45292</v>
      </c>
      <c r="E179" s="24" t="s">
        <v>41</v>
      </c>
      <c r="F179" s="24" t="s">
        <v>198</v>
      </c>
      <c r="G179" s="35" t="str">
        <f>_xlfn.XLOOKUP(A179,'Reference Master List'!$A:$A,'Reference Master List'!$E:$E,"NOT FOUND")</f>
        <v>https://www.waru.edu/sites/default/files/2026-05/Integrated%20Product%20Support%20%28IPS%29%20Element-Guidebook%20v1.1b%20Update%205_2026.pdf</v>
      </c>
    </row>
    <row r="180" spans="1:7" ht="30" hidden="1" x14ac:dyDescent="0.25">
      <c r="A180" s="34" t="s">
        <v>396</v>
      </c>
      <c r="B180" s="21" t="str">
        <f>_xlfn.XLOOKUP(A180,'Reference Master List'!$A:$A,'Reference Master List'!$B:$B,"NOT FOUND")</f>
        <v>Integrated Product Support (IPS)
Elements Guidebook</v>
      </c>
      <c r="C180" s="25" t="s">
        <v>80</v>
      </c>
      <c r="D180" s="23">
        <f>_xlfn.XLOOKUP(A180,'Reference Master List'!$A:$A,'Reference Master List'!$D:$D,"NOT FOUND")</f>
        <v>45292</v>
      </c>
      <c r="E180" s="24" t="s">
        <v>41</v>
      </c>
      <c r="F180" s="24" t="s">
        <v>199</v>
      </c>
      <c r="G180" s="35" t="str">
        <f>_xlfn.XLOOKUP(A180,'Reference Master List'!$A:$A,'Reference Master List'!$E:$E,"NOT FOUND")</f>
        <v>https://www.waru.edu/sites/default/files/2026-05/Integrated%20Product%20Support%20%28IPS%29%20Element-Guidebook%20v1.1b%20Update%205_2026.pdf</v>
      </c>
    </row>
    <row r="181" spans="1:7" ht="30" hidden="1" x14ac:dyDescent="0.25">
      <c r="A181" s="34" t="s">
        <v>396</v>
      </c>
      <c r="B181" s="21" t="str">
        <f>_xlfn.XLOOKUP(A181,'Reference Master List'!$A:$A,'Reference Master List'!$B:$B,"NOT FOUND")</f>
        <v>Integrated Product Support (IPS)
Elements Guidebook</v>
      </c>
      <c r="C181" s="25" t="s">
        <v>80</v>
      </c>
      <c r="D181" s="23">
        <f>_xlfn.XLOOKUP(A181,'Reference Master List'!$A:$A,'Reference Master List'!$D:$D,"NOT FOUND")</f>
        <v>45292</v>
      </c>
      <c r="E181" s="24" t="s">
        <v>41</v>
      </c>
      <c r="F181" s="24" t="s">
        <v>200</v>
      </c>
      <c r="G181" s="35" t="str">
        <f>_xlfn.XLOOKUP(A181,'Reference Master List'!$A:$A,'Reference Master List'!$E:$E,"NOT FOUND")</f>
        <v>https://www.waru.edu/sites/default/files/2026-05/Integrated%20Product%20Support%20%28IPS%29%20Element-Guidebook%20v1.1b%20Update%205_2026.pdf</v>
      </c>
    </row>
    <row r="182" spans="1:7" ht="30" hidden="1" x14ac:dyDescent="0.25">
      <c r="A182" s="34" t="s">
        <v>396</v>
      </c>
      <c r="B182" s="21" t="str">
        <f>_xlfn.XLOOKUP(A182,'Reference Master List'!$A:$A,'Reference Master List'!$B:$B,"NOT FOUND")</f>
        <v>Integrated Product Support (IPS)
Elements Guidebook</v>
      </c>
      <c r="C182" s="25" t="s">
        <v>80</v>
      </c>
      <c r="D182" s="23">
        <f>_xlfn.XLOOKUP(A182,'Reference Master List'!$A:$A,'Reference Master List'!$D:$D,"NOT FOUND")</f>
        <v>45292</v>
      </c>
      <c r="E182" s="24" t="s">
        <v>41</v>
      </c>
      <c r="F182" s="24" t="s">
        <v>201</v>
      </c>
      <c r="G182" s="35" t="str">
        <f>_xlfn.XLOOKUP(A182,'Reference Master List'!$A:$A,'Reference Master List'!$E:$E,"NOT FOUND")</f>
        <v>https://www.waru.edu/sites/default/files/2026-05/Integrated%20Product%20Support%20%28IPS%29%20Element-Guidebook%20v1.1b%20Update%205_2026.pdf</v>
      </c>
    </row>
    <row r="183" spans="1:7" ht="30" hidden="1" x14ac:dyDescent="0.25">
      <c r="A183" s="32" t="s">
        <v>18</v>
      </c>
      <c r="B183" s="21" t="str">
        <f>_xlfn.XLOOKUP(A183,'Reference Master List'!$A:$A,'Reference Master List'!$B:$B,"NOT FOUND")</f>
        <v>Operation of the Software Acquisition Pathway</v>
      </c>
      <c r="C183" s="22" t="s">
        <v>43</v>
      </c>
      <c r="D183" s="23">
        <f>_xlfn.XLOOKUP(A183,'Reference Master List'!$A:$A,'Reference Master List'!$D:$D,"NOT FOUND")</f>
        <v>44106</v>
      </c>
      <c r="E183" s="24" t="s">
        <v>42</v>
      </c>
      <c r="F183" s="24">
        <v>2.2999999999999998</v>
      </c>
      <c r="G183" s="33" t="str">
        <f>_xlfn.XLOOKUP(A183,'Reference Master List'!$A:$A,'Reference Master List'!$E:$E,"NOT FOUND")</f>
        <v>https://www.esd.whs.mil/Portals/54/Documents/DD/issuances/dodi/500087p.PDF?ver=virAfQj4v_LgN1JxpB_dpA%3d%3d</v>
      </c>
    </row>
    <row r="184" spans="1:7" ht="30" hidden="1" x14ac:dyDescent="0.25">
      <c r="A184" s="32" t="s">
        <v>21</v>
      </c>
      <c r="B184" s="21" t="str">
        <f>_xlfn.XLOOKUP(A184,'Reference Master List'!$A:$A,'Reference Master List'!$B:$B,"NOT FOUND")</f>
        <v>Operation of the Software Acquisition Pathway</v>
      </c>
      <c r="C184" s="22" t="s">
        <v>43</v>
      </c>
      <c r="D184" s="23">
        <f>_xlfn.XLOOKUP(A184,'Reference Master List'!$A:$A,'Reference Master List'!$D:$D,"NOT FOUND")</f>
        <v>44450</v>
      </c>
      <c r="E184" s="24" t="s">
        <v>42</v>
      </c>
      <c r="F184" s="24">
        <v>2.2999999999999998</v>
      </c>
      <c r="G184" s="33" t="str">
        <f>_xlfn.XLOOKUP(A184,'Reference Master List'!$A:$A,'Reference Master List'!$E:$E,"NOT FOUND")</f>
        <v>https://static.e-publishing.af.mil/production/1/saf_aq/publication/dodi5000.87_dafi63-150/dodi5000.87_afi63-150.pdf</v>
      </c>
    </row>
    <row r="185" spans="1:7" hidden="1" x14ac:dyDescent="0.25">
      <c r="A185" s="32" t="s">
        <v>19</v>
      </c>
      <c r="B185" s="21" t="str">
        <f>_xlfn.XLOOKUP(A185,'Reference Master List'!$A:$A,'Reference Master List'!$B:$B,"NOT FOUND")</f>
        <v>Major Capability Acquisition</v>
      </c>
      <c r="C185" s="22" t="s">
        <v>43</v>
      </c>
      <c r="D185" s="23">
        <f>_xlfn.XLOOKUP(A185,'Reference Master List'!$A:$A,'Reference Master List'!$D:$D,"NOT FOUND")</f>
        <v>44049</v>
      </c>
      <c r="E185" s="24" t="s">
        <v>42</v>
      </c>
      <c r="F185" s="24">
        <v>2.2999999999999998</v>
      </c>
      <c r="G185" s="33" t="str">
        <f>_xlfn.XLOOKUP(A185,'Reference Master List'!$A:$A,'Reference Master List'!$E:$E,"NOT FOUND")</f>
        <v>https://www.esd.whs.mil/Portals/54/Documents/DD/issuances/dodi/500085p.pdf?ver=RYqeB690-qd-txjFEAZ72A%3d%3d</v>
      </c>
    </row>
    <row r="186" spans="1:7" hidden="1" x14ac:dyDescent="0.25">
      <c r="A186" s="32" t="s">
        <v>22</v>
      </c>
      <c r="B186" s="21" t="str">
        <f>_xlfn.XLOOKUP(A186,'Reference Master List'!$A:$A,'Reference Master List'!$B:$B,"NOT FOUND")</f>
        <v>Major Capability Acquisition</v>
      </c>
      <c r="C186" s="22" t="s">
        <v>43</v>
      </c>
      <c r="D186" s="23">
        <f>_xlfn.XLOOKUP(A186,'Reference Master List'!$A:$A,'Reference Master List'!$D:$D,"NOT FOUND")</f>
        <v>44792</v>
      </c>
      <c r="E186" s="24" t="s">
        <v>42</v>
      </c>
      <c r="F186" s="24">
        <v>2.2999999999999998</v>
      </c>
      <c r="G186" s="33" t="str">
        <f>_xlfn.XLOOKUP(A186,'Reference Master List'!$A:$A,'Reference Master List'!$E:$E,"NOT FOUND")</f>
        <v>https://static.e-publishing.af.mil/production/1/saf_aq/publication/dodi5000.85_dafi63-151/dodi5000.85_dafi63-151.pdf</v>
      </c>
    </row>
    <row r="187" spans="1:7" ht="30" hidden="1" x14ac:dyDescent="0.25">
      <c r="A187" s="32" t="s">
        <v>18</v>
      </c>
      <c r="B187" s="21" t="str">
        <f>_xlfn.XLOOKUP(A187,'Reference Master List'!$A:$A,'Reference Master List'!$B:$B,"NOT FOUND")</f>
        <v>Operation of the Software Acquisition Pathway</v>
      </c>
      <c r="C187" s="22" t="s">
        <v>43</v>
      </c>
      <c r="D187" s="23">
        <f>_xlfn.XLOOKUP(A187,'Reference Master List'!$A:$A,'Reference Master List'!$D:$D,"NOT FOUND")</f>
        <v>44106</v>
      </c>
      <c r="E187" s="24" t="s">
        <v>42</v>
      </c>
      <c r="F187" s="24">
        <v>3.8</v>
      </c>
      <c r="G187" s="33" t="str">
        <f>_xlfn.XLOOKUP(A187,'Reference Master List'!$A:$A,'Reference Master List'!$E:$E,"NOT FOUND")</f>
        <v>https://www.esd.whs.mil/Portals/54/Documents/DD/issuances/dodi/500087p.PDF?ver=virAfQj4v_LgN1JxpB_dpA%3d%3d</v>
      </c>
    </row>
    <row r="188" spans="1:7" ht="30" hidden="1" x14ac:dyDescent="0.25">
      <c r="A188" s="32" t="s">
        <v>21</v>
      </c>
      <c r="B188" s="21" t="str">
        <f>_xlfn.XLOOKUP(A188,'Reference Master List'!$A:$A,'Reference Master List'!$B:$B,"NOT FOUND")</f>
        <v>Operation of the Software Acquisition Pathway</v>
      </c>
      <c r="C188" s="22" t="s">
        <v>43</v>
      </c>
      <c r="D188" s="23">
        <f>_xlfn.XLOOKUP(A188,'Reference Master List'!$A:$A,'Reference Master List'!$D:$D,"NOT FOUND")</f>
        <v>44450</v>
      </c>
      <c r="E188" s="24" t="s">
        <v>42</v>
      </c>
      <c r="F188" s="24">
        <v>3.8</v>
      </c>
      <c r="G188" s="33" t="str">
        <f>_xlfn.XLOOKUP(A188,'Reference Master List'!$A:$A,'Reference Master List'!$E:$E,"NOT FOUND")</f>
        <v>https://static.e-publishing.af.mil/production/1/saf_aq/publication/dodi5000.87_dafi63-150/dodi5000.87_afi63-150.pdf</v>
      </c>
    </row>
    <row r="189" spans="1:7" hidden="1" x14ac:dyDescent="0.25">
      <c r="A189" s="32" t="s">
        <v>19</v>
      </c>
      <c r="B189" s="21" t="str">
        <f>_xlfn.XLOOKUP(A189,'Reference Master List'!$A:$A,'Reference Master List'!$B:$B,"NOT FOUND")</f>
        <v>Major Capability Acquisition</v>
      </c>
      <c r="C189" s="22" t="s">
        <v>43</v>
      </c>
      <c r="D189" s="23">
        <f>_xlfn.XLOOKUP(A189,'Reference Master List'!$A:$A,'Reference Master List'!$D:$D,"NOT FOUND")</f>
        <v>44049</v>
      </c>
      <c r="E189" s="24" t="s">
        <v>42</v>
      </c>
      <c r="F189" s="24">
        <v>3.9</v>
      </c>
      <c r="G189" s="33" t="str">
        <f>_xlfn.XLOOKUP(A189,'Reference Master List'!$A:$A,'Reference Master List'!$E:$E,"NOT FOUND")</f>
        <v>https://www.esd.whs.mil/Portals/54/Documents/DD/issuances/dodi/500085p.pdf?ver=RYqeB690-qd-txjFEAZ72A%3d%3d</v>
      </c>
    </row>
    <row r="190" spans="1:7" hidden="1" x14ac:dyDescent="0.25">
      <c r="A190" s="32" t="s">
        <v>22</v>
      </c>
      <c r="B190" s="21" t="str">
        <f>_xlfn.XLOOKUP(A190,'Reference Master List'!$A:$A,'Reference Master List'!$B:$B,"NOT FOUND")</f>
        <v>Major Capability Acquisition</v>
      </c>
      <c r="C190" s="22" t="s">
        <v>43</v>
      </c>
      <c r="D190" s="23">
        <f>_xlfn.XLOOKUP(A190,'Reference Master List'!$A:$A,'Reference Master List'!$D:$D,"NOT FOUND")</f>
        <v>44792</v>
      </c>
      <c r="E190" s="24" t="s">
        <v>42</v>
      </c>
      <c r="F190" s="24">
        <v>3.9</v>
      </c>
      <c r="G190" s="33" t="str">
        <f>_xlfn.XLOOKUP(A190,'Reference Master List'!$A:$A,'Reference Master List'!$E:$E,"NOT FOUND")</f>
        <v>https://static.e-publishing.af.mil/production/1/saf_aq/publication/dodi5000.85_dafi63-151/dodi5000.85_dafi63-151.pdf</v>
      </c>
    </row>
    <row r="191" spans="1:7" ht="30" hidden="1" x14ac:dyDescent="0.25">
      <c r="A191" s="32" t="s">
        <v>18</v>
      </c>
      <c r="B191" s="21" t="str">
        <f>_xlfn.XLOOKUP(A191,'Reference Master List'!$A:$A,'Reference Master List'!$B:$B,"NOT FOUND")</f>
        <v>Operation of the Software Acquisition Pathway</v>
      </c>
      <c r="C191" s="22" t="s">
        <v>43</v>
      </c>
      <c r="D191" s="23">
        <f>_xlfn.XLOOKUP(A191,'Reference Master List'!$A:$A,'Reference Master List'!$D:$D,"NOT FOUND")</f>
        <v>44106</v>
      </c>
      <c r="E191" s="24" t="s">
        <v>42</v>
      </c>
      <c r="F191" s="24">
        <v>5.0999999999999996</v>
      </c>
      <c r="G191" s="33" t="str">
        <f>_xlfn.XLOOKUP(A191,'Reference Master List'!$A:$A,'Reference Master List'!$E:$E,"NOT FOUND")</f>
        <v>https://www.esd.whs.mil/Portals/54/Documents/DD/issuances/dodi/500087p.PDF?ver=virAfQj4v_LgN1JxpB_dpA%3d%3d</v>
      </c>
    </row>
    <row r="192" spans="1:7" ht="30" hidden="1" x14ac:dyDescent="0.25">
      <c r="A192" s="32" t="s">
        <v>21</v>
      </c>
      <c r="B192" s="21" t="str">
        <f>_xlfn.XLOOKUP(A192,'Reference Master List'!$A:$A,'Reference Master List'!$B:$B,"NOT FOUND")</f>
        <v>Operation of the Software Acquisition Pathway</v>
      </c>
      <c r="C192" s="22" t="s">
        <v>43</v>
      </c>
      <c r="D192" s="23">
        <f>_xlfn.XLOOKUP(A192,'Reference Master List'!$A:$A,'Reference Master List'!$D:$D,"NOT FOUND")</f>
        <v>44450</v>
      </c>
      <c r="E192" s="24" t="s">
        <v>42</v>
      </c>
      <c r="F192" s="24">
        <v>5.0999999999999996</v>
      </c>
      <c r="G192" s="33" t="str">
        <f>_xlfn.XLOOKUP(A192,'Reference Master List'!$A:$A,'Reference Master List'!$E:$E,"NOT FOUND")</f>
        <v>https://static.e-publishing.af.mil/production/1/saf_aq/publication/dodi5000.87_dafi63-150/dodi5000.87_afi63-150.pdf</v>
      </c>
    </row>
    <row r="193" spans="1:7" hidden="1" x14ac:dyDescent="0.25">
      <c r="A193" s="32" t="s">
        <v>372</v>
      </c>
      <c r="B193" s="21" t="str">
        <f>_xlfn.XLOOKUP(A193,'Reference Master List'!$A:$A,'Reference Master List'!$B:$B,"NOT FOUND")</f>
        <v>Test and Evaluation</v>
      </c>
      <c r="C193" s="22">
        <v>2</v>
      </c>
      <c r="D193" s="23">
        <f>_xlfn.XLOOKUP(A193,'Reference Master List'!$A:$A,'Reference Master List'!$D:$D,"NOT FOUND")</f>
        <v>46184</v>
      </c>
      <c r="E193" s="24" t="s">
        <v>44</v>
      </c>
      <c r="F193" s="24">
        <v>1.1000000000000001</v>
      </c>
      <c r="G193" s="33" t="str">
        <f>_xlfn.XLOOKUP(A193,'Reference Master List'!$A:$A,'Reference Master List'!$E:$E,"NOT FOUND")</f>
        <v>https://static.e-publishing.af.mil/production/1/acc/publication/acci99-101/acci99-101.pdf</v>
      </c>
    </row>
    <row r="194" spans="1:7" hidden="1" x14ac:dyDescent="0.25">
      <c r="A194" s="32" t="s">
        <v>17</v>
      </c>
      <c r="B194" s="21" t="str">
        <f>_xlfn.XLOOKUP(A194,'Reference Master List'!$A:$A,'Reference Master List'!$B:$B,"NOT FOUND")</f>
        <v>Test and Evaluation</v>
      </c>
      <c r="C194" s="22" t="s">
        <v>202</v>
      </c>
      <c r="D194" s="23">
        <f>_xlfn.XLOOKUP(A194,'Reference Master List'!$A:$A,'Reference Master List'!$D:$D,"NOT FOUND")</f>
        <v>44154</v>
      </c>
      <c r="E194" s="24" t="s">
        <v>44</v>
      </c>
      <c r="F194" s="24">
        <v>1.1000000000000001</v>
      </c>
      <c r="G194" s="33" t="str">
        <f>_xlfn.XLOOKUP(A194,'Reference Master List'!$A:$A,'Reference Master List'!$E:$E,"NOT FOUND")</f>
        <v>https://www.esd.whs.mil/Portals/54/Documents/DD/issuances/dodi/500089p.PDF?ver=Plc85E0-NVNide91K3XQLA%3d%3d</v>
      </c>
    </row>
    <row r="195" spans="1:7" hidden="1" x14ac:dyDescent="0.25">
      <c r="A195" s="32" t="s">
        <v>20</v>
      </c>
      <c r="B195" s="21" t="str">
        <f>_xlfn.XLOOKUP(A195,'Reference Master List'!$A:$A,'Reference Master List'!$B:$B,"NOT FOUND")</f>
        <v>Test and Evaluation</v>
      </c>
      <c r="C195" s="22" t="s">
        <v>202</v>
      </c>
      <c r="D195" s="23">
        <f>_xlfn.XLOOKUP(A195,'Reference Master List'!$A:$A,'Reference Master List'!$D:$D,"NOT FOUND")</f>
        <v>46168</v>
      </c>
      <c r="E195" s="24" t="s">
        <v>44</v>
      </c>
      <c r="F195" s="24">
        <v>1.1000000000000001</v>
      </c>
      <c r="G195" s="33" t="str">
        <f>_xlfn.XLOOKUP(A195,'Reference Master List'!$A:$A,'Reference Master List'!$E:$E,"NOT FOUND")</f>
        <v>https://static.e-publishing.af.mil/production/1/af_te/publication/dodi5000.89_dafi99-103/dodi5000.89_dafi99-103.pdf</v>
      </c>
    </row>
    <row r="196" spans="1:7" ht="30" hidden="1" x14ac:dyDescent="0.25">
      <c r="A196" s="32" t="s">
        <v>18</v>
      </c>
      <c r="B196" s="21" t="str">
        <f>_xlfn.XLOOKUP(A196,'Reference Master List'!$A:$A,'Reference Master List'!$B:$B,"NOT FOUND")</f>
        <v>Operation of the Software Acquisition Pathway</v>
      </c>
      <c r="C196" s="22">
        <v>1.2</v>
      </c>
      <c r="D196" s="23">
        <f>_xlfn.XLOOKUP(A196,'Reference Master List'!$A:$A,'Reference Master List'!$D:$D,"NOT FOUND")</f>
        <v>44106</v>
      </c>
      <c r="E196" s="24" t="s">
        <v>44</v>
      </c>
      <c r="F196" s="24">
        <v>1.1000000000000001</v>
      </c>
      <c r="G196" s="33" t="str">
        <f>_xlfn.XLOOKUP(A196,'Reference Master List'!$A:$A,'Reference Master List'!$E:$E,"NOT FOUND")</f>
        <v>https://www.esd.whs.mil/Portals/54/Documents/DD/issuances/dodi/500087p.PDF?ver=virAfQj4v_LgN1JxpB_dpA%3d%3d</v>
      </c>
    </row>
    <row r="197" spans="1:7" ht="30" hidden="1" x14ac:dyDescent="0.25">
      <c r="A197" s="32" t="s">
        <v>21</v>
      </c>
      <c r="B197" s="21" t="str">
        <f>_xlfn.XLOOKUP(A197,'Reference Master List'!$A:$A,'Reference Master List'!$B:$B,"NOT FOUND")</f>
        <v>Operation of the Software Acquisition Pathway</v>
      </c>
      <c r="C197" s="22">
        <v>1.2</v>
      </c>
      <c r="D197" s="23">
        <f>_xlfn.XLOOKUP(A197,'Reference Master List'!$A:$A,'Reference Master List'!$D:$D,"NOT FOUND")</f>
        <v>44450</v>
      </c>
      <c r="E197" s="24" t="s">
        <v>44</v>
      </c>
      <c r="F197" s="24">
        <v>1.1000000000000001</v>
      </c>
      <c r="G197" s="33" t="str">
        <f>_xlfn.XLOOKUP(A197,'Reference Master List'!$A:$A,'Reference Master List'!$E:$E,"NOT FOUND")</f>
        <v>https://static.e-publishing.af.mil/production/1/saf_aq/publication/dodi5000.87_dafi63-150/dodi5000.87_afi63-150.pdf</v>
      </c>
    </row>
    <row r="198" spans="1:7" hidden="1" x14ac:dyDescent="0.25">
      <c r="A198" s="32" t="s">
        <v>19</v>
      </c>
      <c r="B198" s="21" t="str">
        <f>_xlfn.XLOOKUP(A198,'Reference Master List'!$A:$A,'Reference Master List'!$B:$B,"NOT FOUND")</f>
        <v>Major Capability Acquisition</v>
      </c>
      <c r="C198" s="22" t="s">
        <v>203</v>
      </c>
      <c r="D198" s="23">
        <f>_xlfn.XLOOKUP(A198,'Reference Master List'!$A:$A,'Reference Master List'!$D:$D,"NOT FOUND")</f>
        <v>44049</v>
      </c>
      <c r="E198" s="24" t="s">
        <v>44</v>
      </c>
      <c r="F198" s="24">
        <v>1.1000000000000001</v>
      </c>
      <c r="G198" s="33" t="str">
        <f>_xlfn.XLOOKUP(A198,'Reference Master List'!$A:$A,'Reference Master List'!$E:$E,"NOT FOUND")</f>
        <v>https://www.esd.whs.mil/Portals/54/Documents/DD/issuances/dodi/500085p.pdf?ver=RYqeB690-qd-txjFEAZ72A%3d%3d</v>
      </c>
    </row>
    <row r="199" spans="1:7" hidden="1" x14ac:dyDescent="0.25">
      <c r="A199" s="32" t="s">
        <v>22</v>
      </c>
      <c r="B199" s="21" t="str">
        <f>_xlfn.XLOOKUP(A199,'Reference Master List'!$A:$A,'Reference Master List'!$B:$B,"NOT FOUND")</f>
        <v>Major Capability Acquisition</v>
      </c>
      <c r="C199" s="22" t="s">
        <v>203</v>
      </c>
      <c r="D199" s="23">
        <f>_xlfn.XLOOKUP(A199,'Reference Master List'!$A:$A,'Reference Master List'!$D:$D,"NOT FOUND")</f>
        <v>44792</v>
      </c>
      <c r="E199" s="24" t="s">
        <v>44</v>
      </c>
      <c r="F199" s="24">
        <v>1.1000000000000001</v>
      </c>
      <c r="G199" s="33" t="str">
        <f>_xlfn.XLOOKUP(A199,'Reference Master List'!$A:$A,'Reference Master List'!$E:$E,"NOT FOUND")</f>
        <v>https://static.e-publishing.af.mil/production/1/saf_aq/publication/dodi5000.85_dafi63-151/dodi5000.85_dafi63-151.pdf</v>
      </c>
    </row>
    <row r="200" spans="1:7" hidden="1" x14ac:dyDescent="0.25">
      <c r="A200" s="32" t="s">
        <v>17</v>
      </c>
      <c r="B200" s="21" t="str">
        <f>_xlfn.XLOOKUP(A200,'Reference Master List'!$A:$A,'Reference Master List'!$B:$B,"NOT FOUND")</f>
        <v>Test and Evaluation</v>
      </c>
      <c r="C200" s="22" t="s">
        <v>204</v>
      </c>
      <c r="D200" s="23">
        <f>_xlfn.XLOOKUP(A200,'Reference Master List'!$A:$A,'Reference Master List'!$D:$D,"NOT FOUND")</f>
        <v>44154</v>
      </c>
      <c r="E200" s="24" t="s">
        <v>44</v>
      </c>
      <c r="F200" s="24">
        <v>1.1000000000000001</v>
      </c>
      <c r="G200" s="33" t="str">
        <f>_xlfn.XLOOKUP(A200,'Reference Master List'!$A:$A,'Reference Master List'!$E:$E,"NOT FOUND")</f>
        <v>https://www.esd.whs.mil/Portals/54/Documents/DD/issuances/dodi/500089p.PDF?ver=Plc85E0-NVNide91K3XQLA%3d%3d</v>
      </c>
    </row>
    <row r="201" spans="1:7" hidden="1" x14ac:dyDescent="0.25">
      <c r="A201" s="32" t="s">
        <v>20</v>
      </c>
      <c r="B201" s="21" t="str">
        <f>_xlfn.XLOOKUP(A201,'Reference Master List'!$A:$A,'Reference Master List'!$B:$B,"NOT FOUND")</f>
        <v>Test and Evaluation</v>
      </c>
      <c r="C201" s="22" t="s">
        <v>204</v>
      </c>
      <c r="D201" s="23">
        <f>_xlfn.XLOOKUP(A201,'Reference Master List'!$A:$A,'Reference Master List'!$D:$D,"NOT FOUND")</f>
        <v>46168</v>
      </c>
      <c r="E201" s="24" t="s">
        <v>44</v>
      </c>
      <c r="F201" s="24">
        <v>1.1000000000000001</v>
      </c>
      <c r="G201" s="33" t="str">
        <f>_xlfn.XLOOKUP(A201,'Reference Master List'!$A:$A,'Reference Master List'!$E:$E,"NOT FOUND")</f>
        <v>https://static.e-publishing.af.mil/production/1/af_te/publication/dodi5000.89_dafi99-103/dodi5000.89_dafi99-103.pdf</v>
      </c>
    </row>
    <row r="202" spans="1:7" ht="45" hidden="1" x14ac:dyDescent="0.25">
      <c r="A202" s="32" t="s">
        <v>23</v>
      </c>
      <c r="B202" s="21" t="str">
        <f>_xlfn.XLOOKUP(A202,'Reference Master List'!$A:$A,'Reference Master List'!$B:$B,"NOT FOUND")</f>
        <v>Interoperability of Information Technology, Including National Security Systems</v>
      </c>
      <c r="C202" s="22" t="s">
        <v>205</v>
      </c>
      <c r="D202" s="23">
        <f>_xlfn.XLOOKUP(A202,'Reference Master List'!$A:$A,'Reference Master List'!$D:$D,"NOT FOUND")</f>
        <v>44831</v>
      </c>
      <c r="E202" s="24" t="s">
        <v>44</v>
      </c>
      <c r="F202" s="24">
        <v>1.1000000000000001</v>
      </c>
      <c r="G202" s="33" t="str">
        <f>_xlfn.XLOOKUP(A202,'Reference Master List'!$A:$A,'Reference Master List'!$E:$E,"NOT FOUND")</f>
        <v>https://www.esd.whs.mil/Portals/54/Documents/DD/issuances/dodi/833001p.pdf?ver=c7Bds_aCFKSe7SK_MiYBIg%3d%3d</v>
      </c>
    </row>
    <row r="203" spans="1:7" ht="45" hidden="1" x14ac:dyDescent="0.25">
      <c r="A203" s="32" t="s">
        <v>9</v>
      </c>
      <c r="B203" s="21" t="str">
        <f>_xlfn.XLOOKUP(A203,'Reference Master List'!$A:$A,'Reference Master List'!$B:$B,"NOT FOUND")</f>
        <v>Technology and Program Protection to Maintain Technological Advantage</v>
      </c>
      <c r="C203" s="22" t="s">
        <v>82</v>
      </c>
      <c r="D203" s="23">
        <f>_xlfn.XLOOKUP(A203,'Reference Master List'!$A:$A,'Reference Master List'!$D:$D,"NOT FOUND")</f>
        <v>44337</v>
      </c>
      <c r="E203" s="24" t="s">
        <v>44</v>
      </c>
      <c r="F203" s="24">
        <v>1.2</v>
      </c>
      <c r="G203" s="33" t="str">
        <f>_xlfn.XLOOKUP(A203,'Reference Master List'!$A:$A,'Reference Master List'!$E:$E,"NOT FOUND")</f>
        <v>https://www.esd.whs.mil/Portals/54/Documents/DD/issuances/dodi/500083p.pdf?ver=fmz4Sx5tYVXnJZNKIoPoUQ%3d%3d</v>
      </c>
    </row>
    <row r="204" spans="1:7" ht="30" hidden="1" x14ac:dyDescent="0.25">
      <c r="A204" s="32" t="s">
        <v>24</v>
      </c>
      <c r="B204" s="21" t="str">
        <f>_xlfn.XLOOKUP(A204,'Reference Master List'!$A:$A,'Reference Master List'!$B:$B,"NOT FOUND")</f>
        <v>Mission-Oriented Test Readiness Certification</v>
      </c>
      <c r="C204" s="22" t="s">
        <v>206</v>
      </c>
      <c r="D204" s="23">
        <f>_xlfn.XLOOKUP(A204,'Reference Master List'!$A:$A,'Reference Master List'!$D:$D,"NOT FOUND")</f>
        <v>44301</v>
      </c>
      <c r="E204" s="24" t="s">
        <v>44</v>
      </c>
      <c r="F204" s="24" t="s">
        <v>207</v>
      </c>
      <c r="G204" s="33" t="str">
        <f>_xlfn.XLOOKUP(A204,'Reference Master List'!$A:$A,'Reference Master List'!$E:$E,"NOT FOUND")</f>
        <v>https://static.e-publishing.af.mil/production/1/saf_aq/publication/dafman63-119/dafman63-119.pdf</v>
      </c>
    </row>
    <row r="205" spans="1:7" hidden="1" x14ac:dyDescent="0.25">
      <c r="A205" s="32" t="s">
        <v>17</v>
      </c>
      <c r="B205" s="21" t="str">
        <f>_xlfn.XLOOKUP(A205,'Reference Master List'!$A:$A,'Reference Master List'!$B:$B,"NOT FOUND")</f>
        <v>Test and Evaluation</v>
      </c>
      <c r="C205" s="22">
        <v>2</v>
      </c>
      <c r="D205" s="23">
        <f>_xlfn.XLOOKUP(A205,'Reference Master List'!$A:$A,'Reference Master List'!$D:$D,"NOT FOUND")</f>
        <v>44154</v>
      </c>
      <c r="E205" s="24" t="s">
        <v>44</v>
      </c>
      <c r="F205" s="24" t="s">
        <v>207</v>
      </c>
      <c r="G205" s="33" t="str">
        <f>_xlfn.XLOOKUP(A205,'Reference Master List'!$A:$A,'Reference Master List'!$E:$E,"NOT FOUND")</f>
        <v>https://www.esd.whs.mil/Portals/54/Documents/DD/issuances/dodi/500089p.PDF?ver=Plc85E0-NVNide91K3XQLA%3d%3d</v>
      </c>
    </row>
    <row r="206" spans="1:7" hidden="1" x14ac:dyDescent="0.25">
      <c r="A206" s="32" t="s">
        <v>20</v>
      </c>
      <c r="B206" s="21" t="str">
        <f>_xlfn.XLOOKUP(A206,'Reference Master List'!$A:$A,'Reference Master List'!$B:$B,"NOT FOUND")</f>
        <v>Test and Evaluation</v>
      </c>
      <c r="C206" s="22">
        <v>2</v>
      </c>
      <c r="D206" s="23">
        <f>_xlfn.XLOOKUP(A206,'Reference Master List'!$A:$A,'Reference Master List'!$D:$D,"NOT FOUND")</f>
        <v>46168</v>
      </c>
      <c r="E206" s="24" t="s">
        <v>44</v>
      </c>
      <c r="F206" s="24" t="s">
        <v>207</v>
      </c>
      <c r="G206" s="33" t="str">
        <f>_xlfn.XLOOKUP(A206,'Reference Master List'!$A:$A,'Reference Master List'!$E:$E,"NOT FOUND")</f>
        <v>https://static.e-publishing.af.mil/production/1/af_te/publication/dodi5000.89_dafi99-103/dodi5000.89_dafi99-103.pdf</v>
      </c>
    </row>
    <row r="207" spans="1:7" hidden="1" x14ac:dyDescent="0.25">
      <c r="A207" s="32" t="s">
        <v>19</v>
      </c>
      <c r="B207" s="21" t="str">
        <f>_xlfn.XLOOKUP(A207,'Reference Master List'!$A:$A,'Reference Master List'!$B:$B,"NOT FOUND")</f>
        <v>Major Capability Acquisition</v>
      </c>
      <c r="C207" s="22" t="s">
        <v>45</v>
      </c>
      <c r="D207" s="23">
        <f>_xlfn.XLOOKUP(A207,'Reference Master List'!$A:$A,'Reference Master List'!$D:$D,"NOT FOUND")</f>
        <v>44049</v>
      </c>
      <c r="E207" s="24" t="s">
        <v>44</v>
      </c>
      <c r="F207" s="24" t="s">
        <v>207</v>
      </c>
      <c r="G207" s="33" t="str">
        <f>_xlfn.XLOOKUP(A207,'Reference Master List'!$A:$A,'Reference Master List'!$E:$E,"NOT FOUND")</f>
        <v>https://www.esd.whs.mil/Portals/54/Documents/DD/issuances/dodi/500085p.pdf?ver=RYqeB690-qd-txjFEAZ72A%3d%3d</v>
      </c>
    </row>
    <row r="208" spans="1:7" hidden="1" x14ac:dyDescent="0.25">
      <c r="A208" s="32" t="s">
        <v>22</v>
      </c>
      <c r="B208" s="21" t="str">
        <f>_xlfn.XLOOKUP(A208,'Reference Master List'!$A:$A,'Reference Master List'!$B:$B,"NOT FOUND")</f>
        <v>Major Capability Acquisition</v>
      </c>
      <c r="C208" s="22" t="s">
        <v>45</v>
      </c>
      <c r="D208" s="23">
        <f>_xlfn.XLOOKUP(A208,'Reference Master List'!$A:$A,'Reference Master List'!$D:$D,"NOT FOUND")</f>
        <v>44792</v>
      </c>
      <c r="E208" s="24" t="s">
        <v>44</v>
      </c>
      <c r="F208" s="24" t="s">
        <v>207</v>
      </c>
      <c r="G208" s="33" t="str">
        <f>_xlfn.XLOOKUP(A208,'Reference Master List'!$A:$A,'Reference Master List'!$E:$E,"NOT FOUND")</f>
        <v>https://static.e-publishing.af.mil/production/1/saf_aq/publication/dodi5000.85_dafi63-151/dodi5000.85_dafi63-151.pdf</v>
      </c>
    </row>
    <row r="209" spans="1:7" hidden="1" x14ac:dyDescent="0.25">
      <c r="A209" s="32" t="s">
        <v>17</v>
      </c>
      <c r="B209" s="21" t="str">
        <f>_xlfn.XLOOKUP(A209,'Reference Master List'!$A:$A,'Reference Master List'!$B:$B,"NOT FOUND")</f>
        <v>Test and Evaluation</v>
      </c>
      <c r="C209" s="22">
        <v>3.1</v>
      </c>
      <c r="D209" s="23">
        <f>_xlfn.XLOOKUP(A209,'Reference Master List'!$A:$A,'Reference Master List'!$D:$D,"NOT FOUND")</f>
        <v>44154</v>
      </c>
      <c r="E209" s="24" t="s">
        <v>44</v>
      </c>
      <c r="F209" s="24" t="s">
        <v>207</v>
      </c>
      <c r="G209" s="33" t="str">
        <f>_xlfn.XLOOKUP(A209,'Reference Master List'!$A:$A,'Reference Master List'!$E:$E,"NOT FOUND")</f>
        <v>https://www.esd.whs.mil/Portals/54/Documents/DD/issuances/dodi/500089p.PDF?ver=Plc85E0-NVNide91K3XQLA%3d%3d</v>
      </c>
    </row>
    <row r="210" spans="1:7" hidden="1" x14ac:dyDescent="0.25">
      <c r="A210" s="32" t="s">
        <v>20</v>
      </c>
      <c r="B210" s="21" t="str">
        <f>_xlfn.XLOOKUP(A210,'Reference Master List'!$A:$A,'Reference Master List'!$B:$B,"NOT FOUND")</f>
        <v>Test and Evaluation</v>
      </c>
      <c r="C210" s="22">
        <v>3.1</v>
      </c>
      <c r="D210" s="23">
        <f>_xlfn.XLOOKUP(A210,'Reference Master List'!$A:$A,'Reference Master List'!$D:$D,"NOT FOUND")</f>
        <v>46168</v>
      </c>
      <c r="E210" s="24" t="s">
        <v>44</v>
      </c>
      <c r="F210" s="24" t="s">
        <v>207</v>
      </c>
      <c r="G210" s="33" t="str">
        <f>_xlfn.XLOOKUP(A210,'Reference Master List'!$A:$A,'Reference Master List'!$E:$E,"NOT FOUND")</f>
        <v>https://static.e-publishing.af.mil/production/1/af_te/publication/dodi5000.89_dafi99-103/dodi5000.89_dafi99-103.pdf</v>
      </c>
    </row>
    <row r="211" spans="1:7" ht="45" hidden="1" x14ac:dyDescent="0.25">
      <c r="A211" s="32" t="s">
        <v>23</v>
      </c>
      <c r="B211" s="21" t="str">
        <f>_xlfn.XLOOKUP(A211,'Reference Master List'!$A:$A,'Reference Master List'!$B:$B,"NOT FOUND")</f>
        <v>Interoperability of Information Technology, Including National Security Systems</v>
      </c>
      <c r="C211" s="22" t="s">
        <v>145</v>
      </c>
      <c r="D211" s="23">
        <f>_xlfn.XLOOKUP(A211,'Reference Master List'!$A:$A,'Reference Master List'!$D:$D,"NOT FOUND")</f>
        <v>44831</v>
      </c>
      <c r="E211" s="24" t="s">
        <v>44</v>
      </c>
      <c r="F211" s="24" t="s">
        <v>207</v>
      </c>
      <c r="G211" s="33" t="str">
        <f>_xlfn.XLOOKUP(A211,'Reference Master List'!$A:$A,'Reference Master List'!$E:$E,"NOT FOUND")</f>
        <v>https://www.esd.whs.mil/Portals/54/Documents/DD/issuances/dodi/833001p.pdf?ver=c7Bds_aCFKSe7SK_MiYBIg%3d%3d</v>
      </c>
    </row>
    <row r="212" spans="1:7" hidden="1" x14ac:dyDescent="0.25">
      <c r="A212" s="32" t="s">
        <v>372</v>
      </c>
      <c r="B212" s="21" t="str">
        <f>_xlfn.XLOOKUP(A212,'Reference Master List'!$A:$A,'Reference Master List'!$B:$B,"NOT FOUND")</f>
        <v>Test and Evaluation</v>
      </c>
      <c r="C212" s="22">
        <v>2.2999999999999998</v>
      </c>
      <c r="D212" s="23">
        <f>_xlfn.XLOOKUP(A212,'Reference Master List'!$A:$A,'Reference Master List'!$D:$D,"NOT FOUND")</f>
        <v>46184</v>
      </c>
      <c r="E212" s="24" t="s">
        <v>44</v>
      </c>
      <c r="F212" s="24" t="s">
        <v>207</v>
      </c>
      <c r="G212" s="33" t="str">
        <f>_xlfn.XLOOKUP(A212,'Reference Master List'!$A:$A,'Reference Master List'!$E:$E,"NOT FOUND")</f>
        <v>https://static.e-publishing.af.mil/production/1/acc/publication/acci99-101/acci99-101.pdf</v>
      </c>
    </row>
    <row r="213" spans="1:7" ht="30" hidden="1" x14ac:dyDescent="0.25">
      <c r="A213" s="32" t="s">
        <v>18</v>
      </c>
      <c r="B213" s="21" t="str">
        <f>_xlfn.XLOOKUP(A213,'Reference Master List'!$A:$A,'Reference Master List'!$B:$B,"NOT FOUND")</f>
        <v>Operation of the Software Acquisition Pathway</v>
      </c>
      <c r="C213" s="22" t="s">
        <v>140</v>
      </c>
      <c r="D213" s="23">
        <f>_xlfn.XLOOKUP(A213,'Reference Master List'!$A:$A,'Reference Master List'!$D:$D,"NOT FOUND")</f>
        <v>44106</v>
      </c>
      <c r="E213" s="24" t="s">
        <v>44</v>
      </c>
      <c r="F213" s="24" t="s">
        <v>208</v>
      </c>
      <c r="G213" s="33" t="str">
        <f>_xlfn.XLOOKUP(A213,'Reference Master List'!$A:$A,'Reference Master List'!$E:$E,"NOT FOUND")</f>
        <v>https://www.esd.whs.mil/Portals/54/Documents/DD/issuances/dodi/500087p.PDF?ver=virAfQj4v_LgN1JxpB_dpA%3d%3d</v>
      </c>
    </row>
    <row r="214" spans="1:7" ht="30" hidden="1" x14ac:dyDescent="0.25">
      <c r="A214" s="32" t="s">
        <v>21</v>
      </c>
      <c r="B214" s="21" t="str">
        <f>_xlfn.XLOOKUP(A214,'Reference Master List'!$A:$A,'Reference Master List'!$B:$B,"NOT FOUND")</f>
        <v>Operation of the Software Acquisition Pathway</v>
      </c>
      <c r="C214" s="22" t="s">
        <v>140</v>
      </c>
      <c r="D214" s="23">
        <f>_xlfn.XLOOKUP(A214,'Reference Master List'!$A:$A,'Reference Master List'!$D:$D,"NOT FOUND")</f>
        <v>44450</v>
      </c>
      <c r="E214" s="24" t="s">
        <v>44</v>
      </c>
      <c r="F214" s="24" t="s">
        <v>208</v>
      </c>
      <c r="G214" s="33" t="str">
        <f>_xlfn.XLOOKUP(A214,'Reference Master List'!$A:$A,'Reference Master List'!$E:$E,"NOT FOUND")</f>
        <v>https://static.e-publishing.af.mil/production/1/saf_aq/publication/dodi5000.87_dafi63-150/dodi5000.87_afi63-150.pdf</v>
      </c>
    </row>
    <row r="215" spans="1:7" hidden="1" x14ac:dyDescent="0.25">
      <c r="A215" s="32" t="s">
        <v>26</v>
      </c>
      <c r="B215" s="21" t="str">
        <f>_xlfn.XLOOKUP(A215,'Reference Master List'!$A:$A,'Reference Master List'!$B:$B,"NOT FOUND")</f>
        <v>Cybersecurity</v>
      </c>
      <c r="C215" s="22" t="s">
        <v>135</v>
      </c>
      <c r="D215" s="23">
        <f>_xlfn.XLOOKUP(A215,'Reference Master List'!$A:$A,'Reference Master List'!$D:$D,"NOT FOUND")</f>
        <v>43745</v>
      </c>
      <c r="E215" s="24" t="s">
        <v>44</v>
      </c>
      <c r="F215" s="24" t="s">
        <v>209</v>
      </c>
      <c r="G215" s="33" t="str">
        <f>_xlfn.XLOOKUP(A215,'Reference Master List'!$A:$A,'Reference Master List'!$E:$E,"NOT FOUND")</f>
        <v>https://www.esd.whs.mil/Portals/54/Documents/DD/issuances/dodi/850001_2014.pdf?ver=2019-10-07-112048-860</v>
      </c>
    </row>
    <row r="216" spans="1:7" hidden="1" x14ac:dyDescent="0.25">
      <c r="A216" s="32" t="s">
        <v>17</v>
      </c>
      <c r="B216" s="21" t="str">
        <f>_xlfn.XLOOKUP(A216,'Reference Master List'!$A:$A,'Reference Master List'!$B:$B,"NOT FOUND")</f>
        <v>Test and Evaluation</v>
      </c>
      <c r="C216" s="22" t="s">
        <v>210</v>
      </c>
      <c r="D216" s="23">
        <f>_xlfn.XLOOKUP(A216,'Reference Master List'!$A:$A,'Reference Master List'!$D:$D,"NOT FOUND")</f>
        <v>44154</v>
      </c>
      <c r="E216" s="24" t="s">
        <v>44</v>
      </c>
      <c r="F216" s="24" t="s">
        <v>211</v>
      </c>
      <c r="G216" s="33" t="str">
        <f>_xlfn.XLOOKUP(A216,'Reference Master List'!$A:$A,'Reference Master List'!$E:$E,"NOT FOUND")</f>
        <v>https://www.esd.whs.mil/Portals/54/Documents/DD/issuances/dodi/500089p.PDF?ver=Plc85E0-NVNide91K3XQLA%3d%3d</v>
      </c>
    </row>
    <row r="217" spans="1:7" hidden="1" x14ac:dyDescent="0.25">
      <c r="A217" s="32" t="s">
        <v>20</v>
      </c>
      <c r="B217" s="21" t="str">
        <f>_xlfn.XLOOKUP(A217,'Reference Master List'!$A:$A,'Reference Master List'!$B:$B,"NOT FOUND")</f>
        <v>Test and Evaluation</v>
      </c>
      <c r="C217" s="22" t="s">
        <v>210</v>
      </c>
      <c r="D217" s="23">
        <f>_xlfn.XLOOKUP(A217,'Reference Master List'!$A:$A,'Reference Master List'!$D:$D,"NOT FOUND")</f>
        <v>46168</v>
      </c>
      <c r="E217" s="24" t="s">
        <v>44</v>
      </c>
      <c r="F217" s="24" t="s">
        <v>211</v>
      </c>
      <c r="G217" s="33" t="str">
        <f>_xlfn.XLOOKUP(A217,'Reference Master List'!$A:$A,'Reference Master List'!$E:$E,"NOT FOUND")</f>
        <v>https://static.e-publishing.af.mil/production/1/af_te/publication/dodi5000.89_dafi99-103/dodi5000.89_dafi99-103.pdf</v>
      </c>
    </row>
    <row r="218" spans="1:7" hidden="1" x14ac:dyDescent="0.25">
      <c r="A218" s="32" t="s">
        <v>17</v>
      </c>
      <c r="B218" s="21" t="str">
        <f>_xlfn.XLOOKUP(A218,'Reference Master List'!$A:$A,'Reference Master List'!$B:$B,"NOT FOUND")</f>
        <v>Test and Evaluation</v>
      </c>
      <c r="C218" s="22">
        <v>3.7</v>
      </c>
      <c r="D218" s="23">
        <f>_xlfn.XLOOKUP(A218,'Reference Master List'!$A:$A,'Reference Master List'!$D:$D,"NOT FOUND")</f>
        <v>44154</v>
      </c>
      <c r="E218" s="24" t="s">
        <v>44</v>
      </c>
      <c r="F218" s="24" t="s">
        <v>211</v>
      </c>
      <c r="G218" s="33" t="str">
        <f>_xlfn.XLOOKUP(A218,'Reference Master List'!$A:$A,'Reference Master List'!$E:$E,"NOT FOUND")</f>
        <v>https://www.esd.whs.mil/Portals/54/Documents/DD/issuances/dodi/500089p.PDF?ver=Plc85E0-NVNide91K3XQLA%3d%3d</v>
      </c>
    </row>
    <row r="219" spans="1:7" hidden="1" x14ac:dyDescent="0.25">
      <c r="A219" s="32" t="s">
        <v>20</v>
      </c>
      <c r="B219" s="21" t="str">
        <f>_xlfn.XLOOKUP(A219,'Reference Master List'!$A:$A,'Reference Master List'!$B:$B,"NOT FOUND")</f>
        <v>Test and Evaluation</v>
      </c>
      <c r="C219" s="22">
        <v>3.7</v>
      </c>
      <c r="D219" s="23">
        <f>_xlfn.XLOOKUP(A219,'Reference Master List'!$A:$A,'Reference Master List'!$D:$D,"NOT FOUND")</f>
        <v>46168</v>
      </c>
      <c r="E219" s="24" t="s">
        <v>44</v>
      </c>
      <c r="F219" s="24" t="s">
        <v>211</v>
      </c>
      <c r="G219" s="33" t="str">
        <f>_xlfn.XLOOKUP(A219,'Reference Master List'!$A:$A,'Reference Master List'!$E:$E,"NOT FOUND")</f>
        <v>https://static.e-publishing.af.mil/production/1/af_te/publication/dodi5000.89_dafi99-103/dodi5000.89_dafi99-103.pdf</v>
      </c>
    </row>
    <row r="220" spans="1:7" ht="45" hidden="1" x14ac:dyDescent="0.25">
      <c r="A220" s="32" t="s">
        <v>23</v>
      </c>
      <c r="B220" s="21" t="str">
        <f>_xlfn.XLOOKUP(A220,'Reference Master List'!$A:$A,'Reference Master List'!$B:$B,"NOT FOUND")</f>
        <v>Interoperability of Information Technology, Including National Security Systems</v>
      </c>
      <c r="C220" s="22">
        <v>3</v>
      </c>
      <c r="D220" s="23">
        <f>_xlfn.XLOOKUP(A220,'Reference Master List'!$A:$A,'Reference Master List'!$D:$D,"NOT FOUND")</f>
        <v>44831</v>
      </c>
      <c r="E220" s="24" t="s">
        <v>44</v>
      </c>
      <c r="F220" s="24" t="s">
        <v>211</v>
      </c>
      <c r="G220" s="33" t="str">
        <f>_xlfn.XLOOKUP(A220,'Reference Master List'!$A:$A,'Reference Master List'!$E:$E,"NOT FOUND")</f>
        <v>https://www.esd.whs.mil/Portals/54/Documents/DD/issuances/dodi/833001p.pdf?ver=c7Bds_aCFKSe7SK_MiYBIg%3d%3d</v>
      </c>
    </row>
    <row r="221" spans="1:7" ht="30" hidden="1" x14ac:dyDescent="0.25">
      <c r="A221" s="32" t="s">
        <v>24</v>
      </c>
      <c r="B221" s="21" t="str">
        <f>_xlfn.XLOOKUP(A221,'Reference Master List'!$A:$A,'Reference Master List'!$B:$B,"NOT FOUND")</f>
        <v>Mission-Oriented Test Readiness Certification</v>
      </c>
      <c r="C221" s="22">
        <v>2.1</v>
      </c>
      <c r="D221" s="23">
        <f>_xlfn.XLOOKUP(A221,'Reference Master List'!$A:$A,'Reference Master List'!$D:$D,"NOT FOUND")</f>
        <v>44301</v>
      </c>
      <c r="E221" s="24" t="s">
        <v>44</v>
      </c>
      <c r="F221" s="24">
        <v>1.3</v>
      </c>
      <c r="G221" s="33" t="str">
        <f>_xlfn.XLOOKUP(A221,'Reference Master List'!$A:$A,'Reference Master List'!$E:$E,"NOT FOUND")</f>
        <v>https://static.e-publishing.af.mil/production/1/saf_aq/publication/dafman63-119/dafman63-119.pdf</v>
      </c>
    </row>
    <row r="222" spans="1:7" s="2" customFormat="1" ht="30" hidden="1" x14ac:dyDescent="0.25">
      <c r="A222" s="34" t="s">
        <v>397</v>
      </c>
      <c r="B222" s="21" t="str">
        <f>_xlfn.XLOOKUP(A222,'Reference Master List'!$A:$A,'Reference Master List'!$B:$B,"NOT FOUND")</f>
        <v>Cyber Operational Test and Evaluation Guidebook</v>
      </c>
      <c r="C222" s="22">
        <v>1.2</v>
      </c>
      <c r="D222" s="23">
        <f>_xlfn.XLOOKUP(A222,'Reference Master List'!$A:$A,'Reference Master List'!$D:$D,"NOT FOUND")</f>
        <v>45689</v>
      </c>
      <c r="E222" s="24" t="s">
        <v>44</v>
      </c>
      <c r="F222" s="24">
        <v>1.3</v>
      </c>
      <c r="G222" s="35" t="str">
        <f>_xlfn.XLOOKUP(A222,'Reference Master List'!$A:$A,'Reference Master List'!$E:$E,"NOT FOUND")</f>
        <v>https://www.dote.osd.mil/Portals/97/pub/guidebooks/2025/Cyber%20Operational%20Test%20and%20Evaluation%20Guidebook%2020250206%20w-cover%20memo%20(29625).pdf?ver=NIz6GX6cjZQjGtxAq4jo0w%3d%3d</v>
      </c>
    </row>
    <row r="223" spans="1:7" s="2" customFormat="1" hidden="1" x14ac:dyDescent="0.25">
      <c r="A223" s="32" t="s">
        <v>29</v>
      </c>
      <c r="B223" s="21" t="str">
        <f>_xlfn.XLOOKUP(A223,'Reference Master List'!$A:$A,'Reference Master List'!$B:$B,"NOT FOUND")</f>
        <v>Acquisition Intelligence</v>
      </c>
      <c r="C223" s="22" t="s">
        <v>212</v>
      </c>
      <c r="D223" s="23">
        <f>_xlfn.XLOOKUP(A223,'Reference Master List'!$A:$A,'Reference Master List'!$D:$D,"NOT FOUND")</f>
        <v>45707</v>
      </c>
      <c r="E223" s="24" t="s">
        <v>44</v>
      </c>
      <c r="F223" s="24">
        <v>1.3</v>
      </c>
      <c r="G223" s="33" t="str">
        <f>_xlfn.XLOOKUP(A223,'Reference Master List'!$A:$A,'Reference Master List'!$E:$E,"NOT FOUND")</f>
        <v>https://static.e-publishing.af.mil/production/1/af_a2_6/publication/dafi14-411/dafi14-411.pdf</v>
      </c>
    </row>
    <row r="224" spans="1:7" s="2" customFormat="1" ht="30" hidden="1" x14ac:dyDescent="0.25">
      <c r="A224" s="34" t="s">
        <v>397</v>
      </c>
      <c r="B224" s="21" t="str">
        <f>_xlfn.XLOOKUP(A224,'Reference Master List'!$A:$A,'Reference Master List'!$B:$B,"NOT FOUND")</f>
        <v>Cyber Operational Test and Evaluation Guidebook</v>
      </c>
      <c r="C224" s="22">
        <v>2</v>
      </c>
      <c r="D224" s="23">
        <f>_xlfn.XLOOKUP(A224,'Reference Master List'!$A:$A,'Reference Master List'!$D:$D,"NOT FOUND")</f>
        <v>45689</v>
      </c>
      <c r="E224" s="24" t="s">
        <v>44</v>
      </c>
      <c r="F224" s="24">
        <v>1.3</v>
      </c>
      <c r="G224" s="35" t="str">
        <f>_xlfn.XLOOKUP(A224,'Reference Master List'!$A:$A,'Reference Master List'!$E:$E,"NOT FOUND")</f>
        <v>https://www.dote.osd.mil/Portals/97/pub/guidebooks/2025/Cyber%20Operational%20Test%20and%20Evaluation%20Guidebook%2020250206%20w-cover%20memo%20(29625).pdf?ver=NIz6GX6cjZQjGtxAq4jo0w%3d%3d</v>
      </c>
    </row>
    <row r="225" spans="1:7" s="2" customFormat="1" ht="30" hidden="1" x14ac:dyDescent="0.25">
      <c r="A225" s="34" t="s">
        <v>397</v>
      </c>
      <c r="B225" s="21" t="str">
        <f>_xlfn.XLOOKUP(A225,'Reference Master List'!$A:$A,'Reference Master List'!$B:$B,"NOT FOUND")</f>
        <v>Cyber Operational Test and Evaluation Guidebook</v>
      </c>
      <c r="C225" s="22" t="s">
        <v>280</v>
      </c>
      <c r="D225" s="23">
        <f>_xlfn.XLOOKUP(A225,'Reference Master List'!$A:$A,'Reference Master List'!$D:$D,"NOT FOUND")</f>
        <v>45689</v>
      </c>
      <c r="E225" s="24" t="s">
        <v>44</v>
      </c>
      <c r="F225" s="24">
        <v>1.3</v>
      </c>
      <c r="G225" s="35" t="str">
        <f>_xlfn.XLOOKUP(A225,'Reference Master List'!$A:$A,'Reference Master List'!$E:$E,"NOT FOUND")</f>
        <v>https://www.dote.osd.mil/Portals/97/pub/guidebooks/2025/Cyber%20Operational%20Test%20and%20Evaluation%20Guidebook%2020250206%20w-cover%20memo%20(29625).pdf?ver=NIz6GX6cjZQjGtxAq4jo0w%3d%3d</v>
      </c>
    </row>
    <row r="226" spans="1:7" s="2" customFormat="1" hidden="1" x14ac:dyDescent="0.25">
      <c r="A226" s="32" t="s">
        <v>46</v>
      </c>
      <c r="B226" s="21" t="str">
        <f>_xlfn.XLOOKUP(A226,'Reference Master List'!$A:$A,'Reference Master List'!$B:$B,"NOT FOUND")</f>
        <v>Autonmy in Weapon Systems</v>
      </c>
      <c r="C226" s="22">
        <v>1</v>
      </c>
      <c r="D226" s="23">
        <f>_xlfn.XLOOKUP(A226,'Reference Master List'!$A:$A,'Reference Master List'!$D:$D,"NOT FOUND")</f>
        <v>44951</v>
      </c>
      <c r="E226" s="24" t="s">
        <v>44</v>
      </c>
      <c r="F226" s="24">
        <v>1.3</v>
      </c>
      <c r="G226" s="33" t="str">
        <f>_xlfn.XLOOKUP(A226,'Reference Master List'!$A:$A,'Reference Master List'!$E:$E,"NOT FOUND")</f>
        <v>https://www.esd.whs.mil/Portals/54/Documents/DD/issuances/DODd/300009p.PDF</v>
      </c>
    </row>
    <row r="227" spans="1:7" s="2" customFormat="1" hidden="1" x14ac:dyDescent="0.25">
      <c r="A227" s="32" t="s">
        <v>46</v>
      </c>
      <c r="B227" s="21" t="str">
        <f>_xlfn.XLOOKUP(A227,'Reference Master List'!$A:$A,'Reference Master List'!$B:$B,"NOT FOUND")</f>
        <v>Autonmy in Weapon Systems</v>
      </c>
      <c r="C227" s="22">
        <v>3</v>
      </c>
      <c r="D227" s="23">
        <f>_xlfn.XLOOKUP(A227,'Reference Master List'!$A:$A,'Reference Master List'!$D:$D,"NOT FOUND")</f>
        <v>44951</v>
      </c>
      <c r="E227" s="24" t="s">
        <v>44</v>
      </c>
      <c r="F227" s="24">
        <v>1.3</v>
      </c>
      <c r="G227" s="33" t="str">
        <f>_xlfn.XLOOKUP(A227,'Reference Master List'!$A:$A,'Reference Master List'!$E:$E,"NOT FOUND")</f>
        <v>https://www.esd.whs.mil/Portals/54/Documents/DD/issuances/DODd/300009p.PDF</v>
      </c>
    </row>
    <row r="228" spans="1:7" ht="30" hidden="1" x14ac:dyDescent="0.25">
      <c r="A228" s="34" t="s">
        <v>397</v>
      </c>
      <c r="B228" s="21" t="str">
        <f>_xlfn.XLOOKUP(A228,'Reference Master List'!$A:$A,'Reference Master List'!$B:$B,"NOT FOUND")</f>
        <v>Cyber Operational Test and Evaluation Guidebook</v>
      </c>
      <c r="C228" s="22" t="s">
        <v>47</v>
      </c>
      <c r="D228" s="23">
        <f>_xlfn.XLOOKUP(A228,'Reference Master List'!$A:$A,'Reference Master List'!$D:$D,"NOT FOUND")</f>
        <v>45689</v>
      </c>
      <c r="E228" s="24" t="s">
        <v>44</v>
      </c>
      <c r="F228" s="24">
        <v>1.3</v>
      </c>
      <c r="G228" s="35" t="str">
        <f>_xlfn.XLOOKUP(A228,'Reference Master List'!$A:$A,'Reference Master List'!$E:$E,"NOT FOUND")</f>
        <v>https://www.dote.osd.mil/Portals/97/pub/guidebooks/2025/Cyber%20Operational%20Test%20and%20Evaluation%20Guidebook%2020250206%20w-cover%20memo%20(29625).pdf?ver=NIz6GX6cjZQjGtxAq4jo0w%3d%3d</v>
      </c>
    </row>
    <row r="229" spans="1:7" hidden="1" x14ac:dyDescent="0.25">
      <c r="A229" s="32" t="s">
        <v>17</v>
      </c>
      <c r="B229" s="21" t="str">
        <f>_xlfn.XLOOKUP(A229,'Reference Master List'!$A:$A,'Reference Master List'!$B:$B,"NOT FOUND")</f>
        <v>Test and Evaluation</v>
      </c>
      <c r="C229" s="22">
        <v>2</v>
      </c>
      <c r="D229" s="23">
        <f>_xlfn.XLOOKUP(A229,'Reference Master List'!$A:$A,'Reference Master List'!$D:$D,"NOT FOUND")</f>
        <v>44154</v>
      </c>
      <c r="E229" s="24" t="s">
        <v>44</v>
      </c>
      <c r="F229" s="24">
        <v>1.3</v>
      </c>
      <c r="G229" s="33" t="str">
        <f>_xlfn.XLOOKUP(A229,'Reference Master List'!$A:$A,'Reference Master List'!$E:$E,"NOT FOUND")</f>
        <v>https://www.esd.whs.mil/Portals/54/Documents/DD/issuances/dodi/500089p.PDF?ver=Plc85E0-NVNide91K3XQLA%3d%3d</v>
      </c>
    </row>
    <row r="230" spans="1:7" hidden="1" x14ac:dyDescent="0.25">
      <c r="A230" s="32" t="s">
        <v>20</v>
      </c>
      <c r="B230" s="21" t="str">
        <f>_xlfn.XLOOKUP(A230,'Reference Master List'!$A:$A,'Reference Master List'!$B:$B,"NOT FOUND")</f>
        <v>Test and Evaluation</v>
      </c>
      <c r="C230" s="22">
        <v>2</v>
      </c>
      <c r="D230" s="23">
        <f>_xlfn.XLOOKUP(A230,'Reference Master List'!$A:$A,'Reference Master List'!$D:$D,"NOT FOUND")</f>
        <v>46168</v>
      </c>
      <c r="E230" s="24" t="s">
        <v>44</v>
      </c>
      <c r="F230" s="24">
        <v>1.3</v>
      </c>
      <c r="G230" s="33" t="str">
        <f>_xlfn.XLOOKUP(A230,'Reference Master List'!$A:$A,'Reference Master List'!$E:$E,"NOT FOUND")</f>
        <v>https://static.e-publishing.af.mil/production/1/af_te/publication/dodi5000.89_dafi99-103/dodi5000.89_dafi99-103.pdf</v>
      </c>
    </row>
    <row r="231" spans="1:7" ht="30" hidden="1" x14ac:dyDescent="0.25">
      <c r="A231" s="32" t="s">
        <v>13</v>
      </c>
      <c r="B231" s="21" t="str">
        <f>_xlfn.XLOOKUP(A231,'Reference Master List'!$A:$A,'Reference Master List'!$B:$B,"NOT FOUND")</f>
        <v>Integrated Life Cycle Management</v>
      </c>
      <c r="C231" s="22">
        <v>4.8</v>
      </c>
      <c r="D231" s="23">
        <f>_xlfn.XLOOKUP(A231,'Reference Master List'!$A:$A,'Reference Master List'!$D:$D,"NOT FOUND")</f>
        <v>45953</v>
      </c>
      <c r="E231" s="24" t="s">
        <v>44</v>
      </c>
      <c r="F231" s="24">
        <v>1.3</v>
      </c>
      <c r="G231" s="33" t="str">
        <f>_xlfn.XLOOKUP(A231,'Reference Master List'!$A:$A,'Reference Master List'!$E:$E,"NOT FOUND")</f>
        <v>https://static.e-publishing.af.mil/production/1/saf_aq/publication/dafi63-101_20-101/dafi63-101_20-101.pdf</v>
      </c>
    </row>
    <row r="232" spans="1:7" hidden="1" x14ac:dyDescent="0.25">
      <c r="A232" s="32" t="s">
        <v>17</v>
      </c>
      <c r="B232" s="21" t="str">
        <f>_xlfn.XLOOKUP(A232,'Reference Master List'!$A:$A,'Reference Master List'!$B:$B,"NOT FOUND")</f>
        <v>Test and Evaluation</v>
      </c>
      <c r="C232" s="22">
        <v>3</v>
      </c>
      <c r="D232" s="23">
        <f>_xlfn.XLOOKUP(A232,'Reference Master List'!$A:$A,'Reference Master List'!$D:$D,"NOT FOUND")</f>
        <v>44154</v>
      </c>
      <c r="E232" s="24" t="s">
        <v>44</v>
      </c>
      <c r="F232" s="24">
        <v>1.3</v>
      </c>
      <c r="G232" s="33" t="str">
        <f>_xlfn.XLOOKUP(A232,'Reference Master List'!$A:$A,'Reference Master List'!$E:$E,"NOT FOUND")</f>
        <v>https://www.esd.whs.mil/Portals/54/Documents/DD/issuances/dodi/500089p.PDF?ver=Plc85E0-NVNide91K3XQLA%3d%3d</v>
      </c>
    </row>
    <row r="233" spans="1:7" hidden="1" x14ac:dyDescent="0.25">
      <c r="A233" s="32" t="s">
        <v>20</v>
      </c>
      <c r="B233" s="21" t="str">
        <f>_xlfn.XLOOKUP(A233,'Reference Master List'!$A:$A,'Reference Master List'!$B:$B,"NOT FOUND")</f>
        <v>Test and Evaluation</v>
      </c>
      <c r="C233" s="22">
        <v>3</v>
      </c>
      <c r="D233" s="23">
        <f>_xlfn.XLOOKUP(A233,'Reference Master List'!$A:$A,'Reference Master List'!$D:$D,"NOT FOUND")</f>
        <v>46168</v>
      </c>
      <c r="E233" s="24" t="s">
        <v>44</v>
      </c>
      <c r="F233" s="24">
        <v>1.3</v>
      </c>
      <c r="G233" s="33" t="str">
        <f>_xlfn.XLOOKUP(A233,'Reference Master List'!$A:$A,'Reference Master List'!$E:$E,"NOT FOUND")</f>
        <v>https://static.e-publishing.af.mil/production/1/af_te/publication/dodi5000.89_dafi99-103/dodi5000.89_dafi99-103.pdf</v>
      </c>
    </row>
    <row r="234" spans="1:7" ht="30" hidden="1" x14ac:dyDescent="0.25">
      <c r="A234" s="32" t="s">
        <v>35</v>
      </c>
      <c r="B234" s="21" t="str">
        <f>_xlfn.XLOOKUP(A234,'Reference Master List'!$A:$A,'Reference Master List'!$B:$B,"NOT FOUND")</f>
        <v>Risk Management Framework for DoD Systems</v>
      </c>
      <c r="C234" s="22" t="s">
        <v>213</v>
      </c>
      <c r="D234" s="23">
        <f>_xlfn.XLOOKUP(A234,'Reference Master List'!$A:$A,'Reference Master List'!$D:$D,"NOT FOUND")</f>
        <v>44761</v>
      </c>
      <c r="E234" s="24" t="s">
        <v>44</v>
      </c>
      <c r="F234" s="24">
        <v>1.3</v>
      </c>
      <c r="G234" s="33" t="str">
        <f>_xlfn.XLOOKUP(A234,'Reference Master List'!$A:$A,'Reference Master List'!$E:$E,"NOT FOUND")</f>
        <v>https://www.esd.whs.mil/Portals/54/Documents/DD/issuances/dodi/851001p.pdf?ver=5YnACrAlUCPZ_qeq4T5nlg%3d%3d</v>
      </c>
    </row>
    <row r="235" spans="1:7" ht="30" hidden="1" x14ac:dyDescent="0.25">
      <c r="A235" s="32" t="s">
        <v>26</v>
      </c>
      <c r="B235" s="21" t="str">
        <f>_xlfn.XLOOKUP(A235,'Reference Master List'!$A:$A,'Reference Master List'!$B:$B,"NOT FOUND")</f>
        <v>Cybersecurity</v>
      </c>
      <c r="C235" s="22" t="s">
        <v>48</v>
      </c>
      <c r="D235" s="23">
        <f>_xlfn.XLOOKUP(A235,'Reference Master List'!$A:$A,'Reference Master List'!$D:$D,"NOT FOUND")</f>
        <v>43745</v>
      </c>
      <c r="E235" s="24" t="s">
        <v>44</v>
      </c>
      <c r="F235" s="24">
        <v>1.3</v>
      </c>
      <c r="G235" s="33" t="str">
        <f>_xlfn.XLOOKUP(A235,'Reference Master List'!$A:$A,'Reference Master List'!$E:$E,"NOT FOUND")</f>
        <v>https://www.esd.whs.mil/Portals/54/Documents/DD/issuances/dodi/850001_2014.pdf?ver=2019-10-07-112048-860</v>
      </c>
    </row>
    <row r="236" spans="1:7" ht="30" hidden="1" x14ac:dyDescent="0.25">
      <c r="A236" s="32" t="s">
        <v>18</v>
      </c>
      <c r="B236" s="21" t="str">
        <f>_xlfn.XLOOKUP(A236,'Reference Master List'!$A:$A,'Reference Master List'!$B:$B,"NOT FOUND")</f>
        <v>Operation of the Software Acquisition Pathway</v>
      </c>
      <c r="C236" s="22" t="s">
        <v>89</v>
      </c>
      <c r="D236" s="23">
        <f>_xlfn.XLOOKUP(A236,'Reference Master List'!$A:$A,'Reference Master List'!$D:$D,"NOT FOUND")</f>
        <v>44106</v>
      </c>
      <c r="E236" s="24" t="s">
        <v>44</v>
      </c>
      <c r="F236" s="24">
        <v>1.3</v>
      </c>
      <c r="G236" s="33" t="str">
        <f>_xlfn.XLOOKUP(A236,'Reference Master List'!$A:$A,'Reference Master List'!$E:$E,"NOT FOUND")</f>
        <v>https://www.esd.whs.mil/Portals/54/Documents/DD/issuances/dodi/500087p.PDF?ver=virAfQj4v_LgN1JxpB_dpA%3d%3d</v>
      </c>
    </row>
    <row r="237" spans="1:7" ht="30" hidden="1" x14ac:dyDescent="0.25">
      <c r="A237" s="32" t="s">
        <v>21</v>
      </c>
      <c r="B237" s="21" t="str">
        <f>_xlfn.XLOOKUP(A237,'Reference Master List'!$A:$A,'Reference Master List'!$B:$B,"NOT FOUND")</f>
        <v>Operation of the Software Acquisition Pathway</v>
      </c>
      <c r="C237" s="22" t="s">
        <v>89</v>
      </c>
      <c r="D237" s="23">
        <f>_xlfn.XLOOKUP(A237,'Reference Master List'!$A:$A,'Reference Master List'!$D:$D,"NOT FOUND")</f>
        <v>44450</v>
      </c>
      <c r="E237" s="24" t="s">
        <v>44</v>
      </c>
      <c r="F237" s="24">
        <v>1.3</v>
      </c>
      <c r="G237" s="33" t="str">
        <f>_xlfn.XLOOKUP(A237,'Reference Master List'!$A:$A,'Reference Master List'!$E:$E,"NOT FOUND")</f>
        <v>https://static.e-publishing.af.mil/production/1/saf_aq/publication/dodi5000.87_dafi63-150/dodi5000.87_afi63-150.pdf</v>
      </c>
    </row>
    <row r="238" spans="1:7" ht="45" hidden="1" x14ac:dyDescent="0.25">
      <c r="A238" s="32" t="s">
        <v>9</v>
      </c>
      <c r="B238" s="21" t="str">
        <f>_xlfn.XLOOKUP(A238,'Reference Master List'!$A:$A,'Reference Master List'!$B:$B,"NOT FOUND")</f>
        <v>Technology and Program Protection to Maintain Technological Advantage</v>
      </c>
      <c r="C238" s="22" t="s">
        <v>173</v>
      </c>
      <c r="D238" s="23">
        <f>_xlfn.XLOOKUP(A238,'Reference Master List'!$A:$A,'Reference Master List'!$D:$D,"NOT FOUND")</f>
        <v>44337</v>
      </c>
      <c r="E238" s="24" t="s">
        <v>44</v>
      </c>
      <c r="F238" s="24">
        <v>1.3</v>
      </c>
      <c r="G238" s="33" t="str">
        <f>_xlfn.XLOOKUP(A238,'Reference Master List'!$A:$A,'Reference Master List'!$E:$E,"NOT FOUND")</f>
        <v>https://www.esd.whs.mil/Portals/54/Documents/DD/issuances/dodi/500083p.pdf?ver=fmz4Sx5tYVXnJZNKIoPoUQ%3d%3d</v>
      </c>
    </row>
    <row r="239" spans="1:7" ht="30" hidden="1" x14ac:dyDescent="0.25">
      <c r="A239" s="32" t="s">
        <v>24</v>
      </c>
      <c r="B239" s="21" t="str">
        <f>_xlfn.XLOOKUP(A239,'Reference Master List'!$A:$A,'Reference Master List'!$B:$B,"NOT FOUND")</f>
        <v>Mission-Oriented Test Readiness Certification</v>
      </c>
      <c r="C239" s="22">
        <v>1</v>
      </c>
      <c r="D239" s="23">
        <f>_xlfn.XLOOKUP(A239,'Reference Master List'!$A:$A,'Reference Master List'!$D:$D,"NOT FOUND")</f>
        <v>44301</v>
      </c>
      <c r="E239" s="24" t="s">
        <v>44</v>
      </c>
      <c r="F239" s="24">
        <v>1.3</v>
      </c>
      <c r="G239" s="33" t="str">
        <f>_xlfn.XLOOKUP(A239,'Reference Master List'!$A:$A,'Reference Master List'!$E:$E,"NOT FOUND")</f>
        <v>https://static.e-publishing.af.mil/production/1/saf_aq/publication/dafman63-119/dafman63-119.pdf</v>
      </c>
    </row>
    <row r="240" spans="1:7" ht="30" hidden="1" x14ac:dyDescent="0.25">
      <c r="A240" s="32" t="s">
        <v>24</v>
      </c>
      <c r="B240" s="21" t="str">
        <f>_xlfn.XLOOKUP(A240,'Reference Master List'!$A:$A,'Reference Master List'!$B:$B,"NOT FOUND")</f>
        <v>Mission-Oriented Test Readiness Certification</v>
      </c>
      <c r="C240" s="22">
        <v>2</v>
      </c>
      <c r="D240" s="23">
        <f>_xlfn.XLOOKUP(A240,'Reference Master List'!$A:$A,'Reference Master List'!$D:$D,"NOT FOUND")</f>
        <v>44301</v>
      </c>
      <c r="E240" s="24" t="s">
        <v>44</v>
      </c>
      <c r="F240" s="24">
        <v>1.3</v>
      </c>
      <c r="G240" s="33" t="str">
        <f>_xlfn.XLOOKUP(A240,'Reference Master List'!$A:$A,'Reference Master List'!$E:$E,"NOT FOUND")</f>
        <v>https://static.e-publishing.af.mil/production/1/saf_aq/publication/dafman63-119/dafman63-119.pdf</v>
      </c>
    </row>
    <row r="241" spans="1:7" ht="30" hidden="1" x14ac:dyDescent="0.25">
      <c r="A241" s="32" t="s">
        <v>24</v>
      </c>
      <c r="B241" s="21" t="str">
        <f>_xlfn.XLOOKUP(A241,'Reference Master List'!$A:$A,'Reference Master List'!$B:$B,"NOT FOUND")</f>
        <v>Mission-Oriented Test Readiness Certification</v>
      </c>
      <c r="C241" s="22" t="s">
        <v>214</v>
      </c>
      <c r="D241" s="23">
        <f>_xlfn.XLOOKUP(A241,'Reference Master List'!$A:$A,'Reference Master List'!$D:$D,"NOT FOUND")</f>
        <v>44301</v>
      </c>
      <c r="E241" s="24" t="s">
        <v>44</v>
      </c>
      <c r="F241" s="24">
        <v>1.3</v>
      </c>
      <c r="G241" s="33" t="str">
        <f>_xlfn.XLOOKUP(A241,'Reference Master List'!$A:$A,'Reference Master List'!$E:$E,"NOT FOUND")</f>
        <v>https://static.e-publishing.af.mil/production/1/saf_aq/publication/dafman63-119/dafman63-119.pdf</v>
      </c>
    </row>
    <row r="242" spans="1:7" hidden="1" x14ac:dyDescent="0.25">
      <c r="A242" s="32" t="s">
        <v>17</v>
      </c>
      <c r="B242" s="21" t="str">
        <f>_xlfn.XLOOKUP(A242,'Reference Master List'!$A:$A,'Reference Master List'!$B:$B,"NOT FOUND")</f>
        <v>Test and Evaluation</v>
      </c>
      <c r="C242" s="22" t="s">
        <v>215</v>
      </c>
      <c r="D242" s="23">
        <f>_xlfn.XLOOKUP(A242,'Reference Master List'!$A:$A,'Reference Master List'!$D:$D,"NOT FOUND")</f>
        <v>44154</v>
      </c>
      <c r="E242" s="24" t="s">
        <v>44</v>
      </c>
      <c r="F242" s="24">
        <v>1.3</v>
      </c>
      <c r="G242" s="33" t="str">
        <f>_xlfn.XLOOKUP(A242,'Reference Master List'!$A:$A,'Reference Master List'!$E:$E,"NOT FOUND")</f>
        <v>https://www.esd.whs.mil/Portals/54/Documents/DD/issuances/dodi/500089p.PDF?ver=Plc85E0-NVNide91K3XQLA%3d%3d</v>
      </c>
    </row>
    <row r="243" spans="1:7" s="2" customFormat="1" hidden="1" x14ac:dyDescent="0.25">
      <c r="A243" s="32" t="s">
        <v>20</v>
      </c>
      <c r="B243" s="21" t="str">
        <f>_xlfn.XLOOKUP(A243,'Reference Master List'!$A:$A,'Reference Master List'!$B:$B,"NOT FOUND")</f>
        <v>Test and Evaluation</v>
      </c>
      <c r="C243" s="22" t="s">
        <v>215</v>
      </c>
      <c r="D243" s="23">
        <f>_xlfn.XLOOKUP(A243,'Reference Master List'!$A:$A,'Reference Master List'!$D:$D,"NOT FOUND")</f>
        <v>46168</v>
      </c>
      <c r="E243" s="24" t="s">
        <v>44</v>
      </c>
      <c r="F243" s="24">
        <v>1.3</v>
      </c>
      <c r="G243" s="33" t="str">
        <f>_xlfn.XLOOKUP(A243,'Reference Master List'!$A:$A,'Reference Master List'!$E:$E,"NOT FOUND")</f>
        <v>https://static.e-publishing.af.mil/production/1/af_te/publication/dodi5000.89_dafi99-103/dodi5000.89_dafi99-103.pdf</v>
      </c>
    </row>
    <row r="244" spans="1:7" s="2" customFormat="1" ht="30" hidden="1" x14ac:dyDescent="0.25">
      <c r="A244" s="32" t="s">
        <v>24</v>
      </c>
      <c r="B244" s="21" t="str">
        <f>_xlfn.XLOOKUP(A244,'Reference Master List'!$A:$A,'Reference Master List'!$B:$B,"NOT FOUND")</f>
        <v>Mission-Oriented Test Readiness Certification</v>
      </c>
      <c r="C244" s="22">
        <v>2.8</v>
      </c>
      <c r="D244" s="23">
        <f>_xlfn.XLOOKUP(A244,'Reference Master List'!$A:$A,'Reference Master List'!$D:$D,"NOT FOUND")</f>
        <v>44301</v>
      </c>
      <c r="E244" s="24" t="s">
        <v>44</v>
      </c>
      <c r="F244" s="24">
        <v>1.3</v>
      </c>
      <c r="G244" s="33" t="str">
        <f>_xlfn.XLOOKUP(A244,'Reference Master List'!$A:$A,'Reference Master List'!$E:$E,"NOT FOUND")</f>
        <v>https://static.e-publishing.af.mil/production/1/saf_aq/publication/dafman63-119/dafman63-119.pdf</v>
      </c>
    </row>
    <row r="245" spans="1:7" s="2" customFormat="1" hidden="1" x14ac:dyDescent="0.25">
      <c r="A245" s="32" t="s">
        <v>17</v>
      </c>
      <c r="B245" s="21" t="str">
        <f>_xlfn.XLOOKUP(A245,'Reference Master List'!$A:$A,'Reference Master List'!$B:$B,"NOT FOUND")</f>
        <v>Test and Evaluation</v>
      </c>
      <c r="C245" s="22" t="s">
        <v>216</v>
      </c>
      <c r="D245" s="23">
        <f>_xlfn.XLOOKUP(A245,'Reference Master List'!$A:$A,'Reference Master List'!$D:$D,"NOT FOUND")</f>
        <v>44154</v>
      </c>
      <c r="E245" s="24" t="s">
        <v>44</v>
      </c>
      <c r="F245" s="24">
        <v>1.4</v>
      </c>
      <c r="G245" s="33" t="str">
        <f>_xlfn.XLOOKUP(A245,'Reference Master List'!$A:$A,'Reference Master List'!$E:$E,"NOT FOUND")</f>
        <v>https://www.esd.whs.mil/Portals/54/Documents/DD/issuances/dodi/500089p.PDF?ver=Plc85E0-NVNide91K3XQLA%3d%3d</v>
      </c>
    </row>
    <row r="246" spans="1:7" s="2" customFormat="1" hidden="1" x14ac:dyDescent="0.25">
      <c r="A246" s="32" t="s">
        <v>20</v>
      </c>
      <c r="B246" s="21" t="str">
        <f>_xlfn.XLOOKUP(A246,'Reference Master List'!$A:$A,'Reference Master List'!$B:$B,"NOT FOUND")</f>
        <v>Test and Evaluation</v>
      </c>
      <c r="C246" s="22" t="s">
        <v>216</v>
      </c>
      <c r="D246" s="23">
        <f>_xlfn.XLOOKUP(A246,'Reference Master List'!$A:$A,'Reference Master List'!$D:$D,"NOT FOUND")</f>
        <v>46168</v>
      </c>
      <c r="E246" s="24" t="s">
        <v>44</v>
      </c>
      <c r="F246" s="24">
        <v>1.4</v>
      </c>
      <c r="G246" s="33" t="str">
        <f>_xlfn.XLOOKUP(A246,'Reference Master List'!$A:$A,'Reference Master List'!$E:$E,"NOT FOUND")</f>
        <v>https://static.e-publishing.af.mil/production/1/af_te/publication/dodi5000.89_dafi99-103/dodi5000.89_dafi99-103.pdf</v>
      </c>
    </row>
    <row r="247" spans="1:7" s="2" customFormat="1" hidden="1" x14ac:dyDescent="0.25">
      <c r="A247" s="32" t="s">
        <v>17</v>
      </c>
      <c r="B247" s="21" t="str">
        <f>_xlfn.XLOOKUP(A247,'Reference Master List'!$A:$A,'Reference Master List'!$B:$B,"NOT FOUND")</f>
        <v>Test and Evaluation</v>
      </c>
      <c r="C247" s="22" t="s">
        <v>217</v>
      </c>
      <c r="D247" s="23">
        <f>_xlfn.XLOOKUP(A247,'Reference Master List'!$A:$A,'Reference Master List'!$D:$D,"NOT FOUND")</f>
        <v>44154</v>
      </c>
      <c r="E247" s="24" t="s">
        <v>44</v>
      </c>
      <c r="F247" s="24">
        <v>1.4</v>
      </c>
      <c r="G247" s="33" t="str">
        <f>_xlfn.XLOOKUP(A247,'Reference Master List'!$A:$A,'Reference Master List'!$E:$E,"NOT FOUND")</f>
        <v>https://www.esd.whs.mil/Portals/54/Documents/DD/issuances/dodi/500089p.PDF?ver=Plc85E0-NVNide91K3XQLA%3d%3d</v>
      </c>
    </row>
    <row r="248" spans="1:7" s="2" customFormat="1" hidden="1" x14ac:dyDescent="0.25">
      <c r="A248" s="32" t="s">
        <v>20</v>
      </c>
      <c r="B248" s="21" t="str">
        <f>_xlfn.XLOOKUP(A248,'Reference Master List'!$A:$A,'Reference Master List'!$B:$B,"NOT FOUND")</f>
        <v>Test and Evaluation</v>
      </c>
      <c r="C248" s="22" t="s">
        <v>217</v>
      </c>
      <c r="D248" s="23">
        <f>_xlfn.XLOOKUP(A248,'Reference Master List'!$A:$A,'Reference Master List'!$D:$D,"NOT FOUND")</f>
        <v>46168</v>
      </c>
      <c r="E248" s="24" t="s">
        <v>44</v>
      </c>
      <c r="F248" s="24">
        <v>1.4</v>
      </c>
      <c r="G248" s="33" t="str">
        <f>_xlfn.XLOOKUP(A248,'Reference Master List'!$A:$A,'Reference Master List'!$E:$E,"NOT FOUND")</f>
        <v>https://static.e-publishing.af.mil/production/1/af_te/publication/dodi5000.89_dafi99-103/dodi5000.89_dafi99-103.pdf</v>
      </c>
    </row>
    <row r="249" spans="1:7" s="2" customFormat="1" hidden="1" x14ac:dyDescent="0.25">
      <c r="A249" s="32" t="s">
        <v>17</v>
      </c>
      <c r="B249" s="21" t="str">
        <f>_xlfn.XLOOKUP(A249,'Reference Master List'!$A:$A,'Reference Master List'!$B:$B,"NOT FOUND")</f>
        <v>Test and Evaluation</v>
      </c>
      <c r="C249" s="22">
        <v>2</v>
      </c>
      <c r="D249" s="23">
        <f>_xlfn.XLOOKUP(A249,'Reference Master List'!$A:$A,'Reference Master List'!$D:$D,"NOT FOUND")</f>
        <v>44154</v>
      </c>
      <c r="E249" s="24" t="s">
        <v>44</v>
      </c>
      <c r="F249" s="24">
        <v>2</v>
      </c>
      <c r="G249" s="33" t="str">
        <f>_xlfn.XLOOKUP(A249,'Reference Master List'!$A:$A,'Reference Master List'!$E:$E,"NOT FOUND")</f>
        <v>https://www.esd.whs.mil/Portals/54/Documents/DD/issuances/dodi/500089p.PDF?ver=Plc85E0-NVNide91K3XQLA%3d%3d</v>
      </c>
    </row>
    <row r="250" spans="1:7" s="2" customFormat="1" hidden="1" x14ac:dyDescent="0.25">
      <c r="A250" s="32" t="s">
        <v>20</v>
      </c>
      <c r="B250" s="21" t="str">
        <f>_xlfn.XLOOKUP(A250,'Reference Master List'!$A:$A,'Reference Master List'!$B:$B,"NOT FOUND")</f>
        <v>Test and Evaluation</v>
      </c>
      <c r="C250" s="22">
        <v>2</v>
      </c>
      <c r="D250" s="23">
        <f>_xlfn.XLOOKUP(A250,'Reference Master List'!$A:$A,'Reference Master List'!$D:$D,"NOT FOUND")</f>
        <v>46168</v>
      </c>
      <c r="E250" s="24" t="s">
        <v>44</v>
      </c>
      <c r="F250" s="24">
        <v>2</v>
      </c>
      <c r="G250" s="33" t="str">
        <f>_xlfn.XLOOKUP(A250,'Reference Master List'!$A:$A,'Reference Master List'!$E:$E,"NOT FOUND")</f>
        <v>https://static.e-publishing.af.mil/production/1/af_te/publication/dodi5000.89_dafi99-103/dodi5000.89_dafi99-103.pdf</v>
      </c>
    </row>
    <row r="251" spans="1:7" s="2" customFormat="1" hidden="1" x14ac:dyDescent="0.25">
      <c r="A251" s="32" t="s">
        <v>17</v>
      </c>
      <c r="B251" s="21" t="str">
        <f>_xlfn.XLOOKUP(A251,'Reference Master List'!$A:$A,'Reference Master List'!$B:$B,"NOT FOUND")</f>
        <v>Test and Evaluation</v>
      </c>
      <c r="C251" s="22">
        <v>5.3</v>
      </c>
      <c r="D251" s="23">
        <f>_xlfn.XLOOKUP(A251,'Reference Master List'!$A:$A,'Reference Master List'!$D:$D,"NOT FOUND")</f>
        <v>44154</v>
      </c>
      <c r="E251" s="24" t="s">
        <v>44</v>
      </c>
      <c r="F251" s="24">
        <v>2</v>
      </c>
      <c r="G251" s="33" t="str">
        <f>_xlfn.XLOOKUP(A251,'Reference Master List'!$A:$A,'Reference Master List'!$E:$E,"NOT FOUND")</f>
        <v>https://www.esd.whs.mil/Portals/54/Documents/DD/issuances/dodi/500089p.PDF?ver=Plc85E0-NVNide91K3XQLA%3d%3d</v>
      </c>
    </row>
    <row r="252" spans="1:7" s="2" customFormat="1" hidden="1" x14ac:dyDescent="0.25">
      <c r="A252" s="32" t="s">
        <v>20</v>
      </c>
      <c r="B252" s="21" t="str">
        <f>_xlfn.XLOOKUP(A252,'Reference Master List'!$A:$A,'Reference Master List'!$B:$B,"NOT FOUND")</f>
        <v>Test and Evaluation</v>
      </c>
      <c r="C252" s="22">
        <v>5.3</v>
      </c>
      <c r="D252" s="23">
        <f>_xlfn.XLOOKUP(A252,'Reference Master List'!$A:$A,'Reference Master List'!$D:$D,"NOT FOUND")</f>
        <v>46168</v>
      </c>
      <c r="E252" s="24" t="s">
        <v>44</v>
      </c>
      <c r="F252" s="24">
        <v>2</v>
      </c>
      <c r="G252" s="33" t="str">
        <f>_xlfn.XLOOKUP(A252,'Reference Master List'!$A:$A,'Reference Master List'!$E:$E,"NOT FOUND")</f>
        <v>https://static.e-publishing.af.mil/production/1/af_te/publication/dodi5000.89_dafi99-103/dodi5000.89_dafi99-103.pdf</v>
      </c>
    </row>
    <row r="253" spans="1:7" hidden="1" x14ac:dyDescent="0.25">
      <c r="A253" s="32" t="s">
        <v>17</v>
      </c>
      <c r="B253" s="21" t="str">
        <f>_xlfn.XLOOKUP(A253,'Reference Master List'!$A:$A,'Reference Master List'!$B:$B,"NOT FOUND")</f>
        <v>Test and Evaluation</v>
      </c>
      <c r="C253" s="22">
        <v>3.4</v>
      </c>
      <c r="D253" s="23">
        <f>_xlfn.XLOOKUP(A253,'Reference Master List'!$A:$A,'Reference Master List'!$D:$D,"NOT FOUND")</f>
        <v>44154</v>
      </c>
      <c r="E253" s="24" t="s">
        <v>44</v>
      </c>
      <c r="F253" s="24">
        <v>2</v>
      </c>
      <c r="G253" s="33" t="str">
        <f>_xlfn.XLOOKUP(A253,'Reference Master List'!$A:$A,'Reference Master List'!$E:$E,"NOT FOUND")</f>
        <v>https://www.esd.whs.mil/Portals/54/Documents/DD/issuances/dodi/500089p.PDF?ver=Plc85E0-NVNide91K3XQLA%3d%3d</v>
      </c>
    </row>
    <row r="254" spans="1:7" hidden="1" x14ac:dyDescent="0.25">
      <c r="A254" s="32" t="s">
        <v>20</v>
      </c>
      <c r="B254" s="21" t="str">
        <f>_xlfn.XLOOKUP(A254,'Reference Master List'!$A:$A,'Reference Master List'!$B:$B,"NOT FOUND")</f>
        <v>Test and Evaluation</v>
      </c>
      <c r="C254" s="22">
        <v>3.4</v>
      </c>
      <c r="D254" s="23">
        <f>_xlfn.XLOOKUP(A254,'Reference Master List'!$A:$A,'Reference Master List'!$D:$D,"NOT FOUND")</f>
        <v>46168</v>
      </c>
      <c r="E254" s="24" t="s">
        <v>44</v>
      </c>
      <c r="F254" s="24">
        <v>2</v>
      </c>
      <c r="G254" s="33" t="str">
        <f>_xlfn.XLOOKUP(A254,'Reference Master List'!$A:$A,'Reference Master List'!$E:$E,"NOT FOUND")</f>
        <v>https://static.e-publishing.af.mil/production/1/af_te/publication/dodi5000.89_dafi99-103/dodi5000.89_dafi99-103.pdf</v>
      </c>
    </row>
    <row r="255" spans="1:7" hidden="1" x14ac:dyDescent="0.25">
      <c r="A255" s="32" t="s">
        <v>372</v>
      </c>
      <c r="B255" s="21" t="str">
        <f>_xlfn.XLOOKUP(A255,'Reference Master List'!$A:$A,'Reference Master List'!$B:$B,"NOT FOUND")</f>
        <v>Test and Evaluation</v>
      </c>
      <c r="C255" s="22" t="s">
        <v>218</v>
      </c>
      <c r="D255" s="23">
        <f>_xlfn.XLOOKUP(A255,'Reference Master List'!$A:$A,'Reference Master List'!$D:$D,"NOT FOUND")</f>
        <v>46184</v>
      </c>
      <c r="E255" s="24" t="s">
        <v>44</v>
      </c>
      <c r="F255" s="24">
        <v>2</v>
      </c>
      <c r="G255" s="33" t="str">
        <f>_xlfn.XLOOKUP(A255,'Reference Master List'!$A:$A,'Reference Master List'!$E:$E,"NOT FOUND")</f>
        <v>https://static.e-publishing.af.mil/production/1/acc/publication/acci99-101/acci99-101.pdf</v>
      </c>
    </row>
    <row r="256" spans="1:7" ht="30" hidden="1" x14ac:dyDescent="0.25">
      <c r="A256" s="32" t="s">
        <v>24</v>
      </c>
      <c r="B256" s="21" t="str">
        <f>_xlfn.XLOOKUP(A256,'Reference Master List'!$A:$A,'Reference Master List'!$B:$B,"NOT FOUND")</f>
        <v>Mission-Oriented Test Readiness Certification</v>
      </c>
      <c r="C256" s="22" t="s">
        <v>219</v>
      </c>
      <c r="D256" s="23">
        <f>_xlfn.XLOOKUP(A256,'Reference Master List'!$A:$A,'Reference Master List'!$D:$D,"NOT FOUND")</f>
        <v>44301</v>
      </c>
      <c r="E256" s="24" t="s">
        <v>44</v>
      </c>
      <c r="F256" s="24">
        <v>2.1</v>
      </c>
      <c r="G256" s="33" t="str">
        <f>_xlfn.XLOOKUP(A256,'Reference Master List'!$A:$A,'Reference Master List'!$E:$E,"NOT FOUND")</f>
        <v>https://static.e-publishing.af.mil/production/1/saf_aq/publication/dafman63-119/dafman63-119.pdf</v>
      </c>
    </row>
    <row r="257" spans="1:7" ht="45" hidden="1" x14ac:dyDescent="0.25">
      <c r="A257" s="32" t="s">
        <v>9</v>
      </c>
      <c r="B257" s="21" t="str">
        <f>_xlfn.XLOOKUP(A257,'Reference Master List'!$A:$A,'Reference Master List'!$B:$B,"NOT FOUND")</f>
        <v>Technology and Program Protection to Maintain Technological Advantage</v>
      </c>
      <c r="C257" s="22">
        <v>3.3</v>
      </c>
      <c r="D257" s="23">
        <f>_xlfn.XLOOKUP(A257,'Reference Master List'!$A:$A,'Reference Master List'!$D:$D,"NOT FOUND")</f>
        <v>44337</v>
      </c>
      <c r="E257" s="24" t="s">
        <v>44</v>
      </c>
      <c r="F257" s="24">
        <v>2.1</v>
      </c>
      <c r="G257" s="33" t="str">
        <f>_xlfn.XLOOKUP(A257,'Reference Master List'!$A:$A,'Reference Master List'!$E:$E,"NOT FOUND")</f>
        <v>https://www.esd.whs.mil/Portals/54/Documents/DD/issuances/dodi/500083p.pdf?ver=fmz4Sx5tYVXnJZNKIoPoUQ%3d%3d</v>
      </c>
    </row>
    <row r="258" spans="1:7" hidden="1" x14ac:dyDescent="0.25">
      <c r="A258" s="32" t="s">
        <v>372</v>
      </c>
      <c r="B258" s="21" t="str">
        <f>_xlfn.XLOOKUP(A258,'Reference Master List'!$A:$A,'Reference Master List'!$B:$B,"NOT FOUND")</f>
        <v>Test and Evaluation</v>
      </c>
      <c r="C258" s="22" t="s">
        <v>220</v>
      </c>
      <c r="D258" s="23">
        <f>_xlfn.XLOOKUP(A258,'Reference Master List'!$A:$A,'Reference Master List'!$D:$D,"NOT FOUND")</f>
        <v>46184</v>
      </c>
      <c r="E258" s="24" t="s">
        <v>44</v>
      </c>
      <c r="F258" s="24">
        <v>2.1</v>
      </c>
      <c r="G258" s="33" t="str">
        <f>_xlfn.XLOOKUP(A258,'Reference Master List'!$A:$A,'Reference Master List'!$E:$E,"NOT FOUND")</f>
        <v>https://static.e-publishing.af.mil/production/1/acc/publication/acci99-101/acci99-101.pdf</v>
      </c>
    </row>
    <row r="259" spans="1:7" ht="30" hidden="1" x14ac:dyDescent="0.25">
      <c r="A259" s="32" t="s">
        <v>24</v>
      </c>
      <c r="B259" s="21" t="str">
        <f>_xlfn.XLOOKUP(A259,'Reference Master List'!$A:$A,'Reference Master List'!$B:$B,"NOT FOUND")</f>
        <v>Mission-Oriented Test Readiness Certification</v>
      </c>
      <c r="C259" s="22" t="s">
        <v>221</v>
      </c>
      <c r="D259" s="23">
        <f>_xlfn.XLOOKUP(A259,'Reference Master List'!$A:$A,'Reference Master List'!$D:$D,"NOT FOUND")</f>
        <v>44301</v>
      </c>
      <c r="E259" s="24" t="s">
        <v>44</v>
      </c>
      <c r="F259" s="24">
        <v>2.1</v>
      </c>
      <c r="G259" s="33" t="str">
        <f>_xlfn.XLOOKUP(A259,'Reference Master List'!$A:$A,'Reference Master List'!$E:$E,"NOT FOUND")</f>
        <v>https://static.e-publishing.af.mil/production/1/saf_aq/publication/dafman63-119/dafman63-119.pdf</v>
      </c>
    </row>
    <row r="260" spans="1:7" hidden="1" x14ac:dyDescent="0.25">
      <c r="A260" s="32" t="s">
        <v>46</v>
      </c>
      <c r="B260" s="21" t="str">
        <f>_xlfn.XLOOKUP(A260,'Reference Master List'!$A:$A,'Reference Master List'!$B:$B,"NOT FOUND")</f>
        <v>Autonmy in Weapon Systems</v>
      </c>
      <c r="C260" s="22" t="s">
        <v>222</v>
      </c>
      <c r="D260" s="23">
        <f>_xlfn.XLOOKUP(A260,'Reference Master List'!$A:$A,'Reference Master List'!$D:$D,"NOT FOUND")</f>
        <v>44951</v>
      </c>
      <c r="E260" s="24" t="s">
        <v>44</v>
      </c>
      <c r="F260" s="24">
        <v>2.1</v>
      </c>
      <c r="G260" s="33" t="str">
        <f>_xlfn.XLOOKUP(A260,'Reference Master List'!$A:$A,'Reference Master List'!$E:$E,"NOT FOUND")</f>
        <v>https://www.esd.whs.mil/Portals/54/Documents/DD/issuances/DODd/300009p.PDF</v>
      </c>
    </row>
    <row r="261" spans="1:7" hidden="1" x14ac:dyDescent="0.25">
      <c r="A261" s="32" t="s">
        <v>17</v>
      </c>
      <c r="B261" s="21" t="str">
        <f>_xlfn.XLOOKUP(A261,'Reference Master List'!$A:$A,'Reference Master List'!$B:$B,"NOT FOUND")</f>
        <v>Test and Evaluation</v>
      </c>
      <c r="C261" s="22">
        <v>2</v>
      </c>
      <c r="D261" s="23">
        <f>_xlfn.XLOOKUP(A261,'Reference Master List'!$A:$A,'Reference Master List'!$D:$D,"NOT FOUND")</f>
        <v>44154</v>
      </c>
      <c r="E261" s="24" t="s">
        <v>44</v>
      </c>
      <c r="F261" s="24">
        <v>2.1</v>
      </c>
      <c r="G261" s="33" t="str">
        <f>_xlfn.XLOOKUP(A261,'Reference Master List'!$A:$A,'Reference Master List'!$E:$E,"NOT FOUND")</f>
        <v>https://www.esd.whs.mil/Portals/54/Documents/DD/issuances/dodi/500089p.PDF?ver=Plc85E0-NVNide91K3XQLA%3d%3d</v>
      </c>
    </row>
    <row r="262" spans="1:7" hidden="1" x14ac:dyDescent="0.25">
      <c r="A262" s="32" t="s">
        <v>20</v>
      </c>
      <c r="B262" s="21" t="str">
        <f>_xlfn.XLOOKUP(A262,'Reference Master List'!$A:$A,'Reference Master List'!$B:$B,"NOT FOUND")</f>
        <v>Test and Evaluation</v>
      </c>
      <c r="C262" s="22">
        <v>2</v>
      </c>
      <c r="D262" s="23">
        <f>_xlfn.XLOOKUP(A262,'Reference Master List'!$A:$A,'Reference Master List'!$D:$D,"NOT FOUND")</f>
        <v>46168</v>
      </c>
      <c r="E262" s="24" t="s">
        <v>44</v>
      </c>
      <c r="F262" s="24">
        <v>2.1</v>
      </c>
      <c r="G262" s="33" t="str">
        <f>_xlfn.XLOOKUP(A262,'Reference Master List'!$A:$A,'Reference Master List'!$E:$E,"NOT FOUND")</f>
        <v>https://static.e-publishing.af.mil/production/1/af_te/publication/dodi5000.89_dafi99-103/dodi5000.89_dafi99-103.pdf</v>
      </c>
    </row>
    <row r="263" spans="1:7" ht="30" hidden="1" x14ac:dyDescent="0.25">
      <c r="A263" s="32" t="s">
        <v>35</v>
      </c>
      <c r="B263" s="21" t="str">
        <f>_xlfn.XLOOKUP(A263,'Reference Master List'!$A:$A,'Reference Master List'!$B:$B,"NOT FOUND")</f>
        <v>Risk Management Framework for DoD Systems</v>
      </c>
      <c r="C263" s="22" t="s">
        <v>81</v>
      </c>
      <c r="D263" s="23">
        <f>_xlfn.XLOOKUP(A263,'Reference Master List'!$A:$A,'Reference Master List'!$D:$D,"NOT FOUND")</f>
        <v>44761</v>
      </c>
      <c r="E263" s="24" t="s">
        <v>44</v>
      </c>
      <c r="F263" s="24">
        <v>2.1</v>
      </c>
      <c r="G263" s="33" t="str">
        <f>_xlfn.XLOOKUP(A263,'Reference Master List'!$A:$A,'Reference Master List'!$E:$E,"NOT FOUND")</f>
        <v>https://www.esd.whs.mil/Portals/54/Documents/DD/issuances/dodi/851001p.pdf?ver=5YnACrAlUCPZ_qeq4T5nlg%3d%3d</v>
      </c>
    </row>
    <row r="264" spans="1:7" ht="45" hidden="1" x14ac:dyDescent="0.25">
      <c r="A264" s="32" t="s">
        <v>36</v>
      </c>
      <c r="B264" s="21" t="str">
        <f>_xlfn.XLOOKUP(A264,'Reference Master List'!$A:$A,'Reference Master List'!$B:$B,"NOT FOUND")</f>
        <v>Cybersecurity for Acquisition Decision Authorities and Program Managers</v>
      </c>
      <c r="C264" s="22" t="s">
        <v>223</v>
      </c>
      <c r="D264" s="23">
        <f>_xlfn.XLOOKUP(A264,'Reference Master List'!$A:$A,'Reference Master List'!$D:$D,"NOT FOUND")</f>
        <v>44196</v>
      </c>
      <c r="E264" s="24" t="s">
        <v>44</v>
      </c>
      <c r="F264" s="24">
        <v>2.1</v>
      </c>
      <c r="G264" s="33" t="str">
        <f>_xlfn.XLOOKUP(A264,'Reference Master List'!$A:$A,'Reference Master List'!$E:$E,"NOT FOUND")</f>
        <v>https://www.esd.whs.mil/Portals/54/Documents/DD/issuances/dodi/500090p.PDF?ver=MIG3uLnzXl31QcvXJTZ5uA%3d%3d</v>
      </c>
    </row>
    <row r="265" spans="1:7" s="2" customFormat="1" ht="30" hidden="1" x14ac:dyDescent="0.25">
      <c r="A265" s="34" t="s">
        <v>397</v>
      </c>
      <c r="B265" s="21" t="str">
        <f>_xlfn.XLOOKUP(A265,'Reference Master List'!$A:$A,'Reference Master List'!$B:$B,"NOT FOUND")</f>
        <v>Cyber Operational Test and Evaluation Guidebook</v>
      </c>
      <c r="C265" s="22" t="s">
        <v>224</v>
      </c>
      <c r="D265" s="23">
        <f>_xlfn.XLOOKUP(A265,'Reference Master List'!$A:$A,'Reference Master List'!$D:$D,"NOT FOUND")</f>
        <v>45689</v>
      </c>
      <c r="E265" s="24" t="s">
        <v>44</v>
      </c>
      <c r="F265" s="24">
        <v>2.1</v>
      </c>
      <c r="G265" s="35" t="str">
        <f>_xlfn.XLOOKUP(A265,'Reference Master List'!$A:$A,'Reference Master List'!$E:$E,"NOT FOUND")</f>
        <v>https://www.dote.osd.mil/Portals/97/pub/guidebooks/2025/Cyber%20Operational%20Test%20and%20Evaluation%20Guidebook%2020250206%20w-cover%20memo%20(29625).pdf?ver=NIz6GX6cjZQjGtxAq4jo0w%3d%3d</v>
      </c>
    </row>
    <row r="266" spans="1:7" s="2" customFormat="1" hidden="1" x14ac:dyDescent="0.25">
      <c r="A266" s="32" t="s">
        <v>17</v>
      </c>
      <c r="B266" s="21" t="str">
        <f>_xlfn.XLOOKUP(A266,'Reference Master List'!$A:$A,'Reference Master List'!$B:$B,"NOT FOUND")</f>
        <v>Test and Evaluation</v>
      </c>
      <c r="C266" s="22">
        <v>5.0999999999999996</v>
      </c>
      <c r="D266" s="23">
        <f>_xlfn.XLOOKUP(A266,'Reference Master List'!$A:$A,'Reference Master List'!$D:$D,"NOT FOUND")</f>
        <v>44154</v>
      </c>
      <c r="E266" s="24" t="s">
        <v>44</v>
      </c>
      <c r="F266" s="24">
        <v>2.1</v>
      </c>
      <c r="G266" s="33" t="str">
        <f>_xlfn.XLOOKUP(A266,'Reference Master List'!$A:$A,'Reference Master List'!$E:$E,"NOT FOUND")</f>
        <v>https://www.esd.whs.mil/Portals/54/Documents/DD/issuances/dodi/500089p.PDF?ver=Plc85E0-NVNide91K3XQLA%3d%3d</v>
      </c>
    </row>
    <row r="267" spans="1:7" s="2" customFormat="1" hidden="1" x14ac:dyDescent="0.25">
      <c r="A267" s="32" t="s">
        <v>20</v>
      </c>
      <c r="B267" s="21" t="str">
        <f>_xlfn.XLOOKUP(A267,'Reference Master List'!$A:$A,'Reference Master List'!$B:$B,"NOT FOUND")</f>
        <v>Test and Evaluation</v>
      </c>
      <c r="C267" s="22">
        <v>5.0999999999999996</v>
      </c>
      <c r="D267" s="23">
        <f>_xlfn.XLOOKUP(A267,'Reference Master List'!$A:$A,'Reference Master List'!$D:$D,"NOT FOUND")</f>
        <v>46168</v>
      </c>
      <c r="E267" s="24" t="s">
        <v>44</v>
      </c>
      <c r="F267" s="24">
        <v>2.1</v>
      </c>
      <c r="G267" s="33" t="str">
        <f>_xlfn.XLOOKUP(A267,'Reference Master List'!$A:$A,'Reference Master List'!$E:$E,"NOT FOUND")</f>
        <v>https://static.e-publishing.af.mil/production/1/af_te/publication/dodi5000.89_dafi99-103/dodi5000.89_dafi99-103.pdf</v>
      </c>
    </row>
    <row r="268" spans="1:7" s="2" customFormat="1" ht="30" hidden="1" x14ac:dyDescent="0.25">
      <c r="A268" s="32" t="s">
        <v>18</v>
      </c>
      <c r="B268" s="21" t="str">
        <f>_xlfn.XLOOKUP(A268,'Reference Master List'!$A:$A,'Reference Master List'!$B:$B,"NOT FOUND")</f>
        <v>Operation of the Software Acquisition Pathway</v>
      </c>
      <c r="C268" s="22">
        <v>1.2</v>
      </c>
      <c r="D268" s="23">
        <f>_xlfn.XLOOKUP(A268,'Reference Master List'!$A:$A,'Reference Master List'!$D:$D,"NOT FOUND")</f>
        <v>44106</v>
      </c>
      <c r="E268" s="24" t="s">
        <v>44</v>
      </c>
      <c r="F268" s="24">
        <v>2.1</v>
      </c>
      <c r="G268" s="33" t="str">
        <f>_xlfn.XLOOKUP(A268,'Reference Master List'!$A:$A,'Reference Master List'!$E:$E,"NOT FOUND")</f>
        <v>https://www.esd.whs.mil/Portals/54/Documents/DD/issuances/dodi/500087p.PDF?ver=virAfQj4v_LgN1JxpB_dpA%3d%3d</v>
      </c>
    </row>
    <row r="269" spans="1:7" s="2" customFormat="1" ht="30" hidden="1" x14ac:dyDescent="0.25">
      <c r="A269" s="32" t="s">
        <v>21</v>
      </c>
      <c r="B269" s="21" t="str">
        <f>_xlfn.XLOOKUP(A269,'Reference Master List'!$A:$A,'Reference Master List'!$B:$B,"NOT FOUND")</f>
        <v>Operation of the Software Acquisition Pathway</v>
      </c>
      <c r="C269" s="22">
        <v>1.2</v>
      </c>
      <c r="D269" s="23">
        <f>_xlfn.XLOOKUP(A269,'Reference Master List'!$A:$A,'Reference Master List'!$D:$D,"NOT FOUND")</f>
        <v>44450</v>
      </c>
      <c r="E269" s="24" t="s">
        <v>44</v>
      </c>
      <c r="F269" s="24">
        <v>2.1</v>
      </c>
      <c r="G269" s="33" t="str">
        <f>_xlfn.XLOOKUP(A269,'Reference Master List'!$A:$A,'Reference Master List'!$E:$E,"NOT FOUND")</f>
        <v>https://static.e-publishing.af.mil/production/1/saf_aq/publication/dodi5000.87_dafi63-150/dodi5000.87_afi63-150.pdf</v>
      </c>
    </row>
    <row r="270" spans="1:7" s="2" customFormat="1" ht="30" hidden="1" x14ac:dyDescent="0.25">
      <c r="A270" s="34" t="s">
        <v>397</v>
      </c>
      <c r="B270" s="21" t="str">
        <f>_xlfn.XLOOKUP(A270,'Reference Master List'!$A:$A,'Reference Master List'!$B:$B,"NOT FOUND")</f>
        <v>Cyber Operational Test and Evaluation Guidebook</v>
      </c>
      <c r="C270" s="22">
        <v>3</v>
      </c>
      <c r="D270" s="23">
        <f>_xlfn.XLOOKUP(A270,'Reference Master List'!$A:$A,'Reference Master List'!$D:$D,"NOT FOUND")</f>
        <v>45689</v>
      </c>
      <c r="E270" s="24" t="s">
        <v>44</v>
      </c>
      <c r="F270" s="24">
        <v>2.1</v>
      </c>
      <c r="G270" s="35" t="str">
        <f>_xlfn.XLOOKUP(A270,'Reference Master List'!$A:$A,'Reference Master List'!$E:$E,"NOT FOUND")</f>
        <v>https://www.dote.osd.mil/Portals/97/pub/guidebooks/2025/Cyber%20Operational%20Test%20and%20Evaluation%20Guidebook%2020250206%20w-cover%20memo%20(29625).pdf?ver=NIz6GX6cjZQjGtxAq4jo0w%3d%3d</v>
      </c>
    </row>
    <row r="271" spans="1:7" s="2" customFormat="1" ht="30" hidden="1" x14ac:dyDescent="0.25">
      <c r="A271" s="32" t="s">
        <v>24</v>
      </c>
      <c r="B271" s="21" t="str">
        <f>_xlfn.XLOOKUP(A271,'Reference Master List'!$A:$A,'Reference Master List'!$B:$B,"NOT FOUND")</f>
        <v>Mission-Oriented Test Readiness Certification</v>
      </c>
      <c r="C271" s="22" t="s">
        <v>225</v>
      </c>
      <c r="D271" s="23">
        <f>_xlfn.XLOOKUP(A271,'Reference Master List'!$A:$A,'Reference Master List'!$D:$D,"NOT FOUND")</f>
        <v>44301</v>
      </c>
      <c r="E271" s="24" t="s">
        <v>44</v>
      </c>
      <c r="F271" s="24">
        <v>2.1</v>
      </c>
      <c r="G271" s="33" t="str">
        <f>_xlfn.XLOOKUP(A271,'Reference Master List'!$A:$A,'Reference Master List'!$E:$E,"NOT FOUND")</f>
        <v>https://static.e-publishing.af.mil/production/1/saf_aq/publication/dafman63-119/dafman63-119.pdf</v>
      </c>
    </row>
    <row r="272" spans="1:7" s="2" customFormat="1" hidden="1" x14ac:dyDescent="0.25">
      <c r="A272" s="32" t="s">
        <v>17</v>
      </c>
      <c r="B272" s="21" t="str">
        <f>_xlfn.XLOOKUP(A272,'Reference Master List'!$A:$A,'Reference Master List'!$B:$B,"NOT FOUND")</f>
        <v>Test and Evaluation</v>
      </c>
      <c r="C272" s="22">
        <v>3</v>
      </c>
      <c r="D272" s="23">
        <f>_xlfn.XLOOKUP(A272,'Reference Master List'!$A:$A,'Reference Master List'!$D:$D,"NOT FOUND")</f>
        <v>44154</v>
      </c>
      <c r="E272" s="24" t="s">
        <v>44</v>
      </c>
      <c r="F272" s="24">
        <v>2.1</v>
      </c>
      <c r="G272" s="33" t="str">
        <f>_xlfn.XLOOKUP(A272,'Reference Master List'!$A:$A,'Reference Master List'!$E:$E,"NOT FOUND")</f>
        <v>https://www.esd.whs.mil/Portals/54/Documents/DD/issuances/dodi/500089p.PDF?ver=Plc85E0-NVNide91K3XQLA%3d%3d</v>
      </c>
    </row>
    <row r="273" spans="1:7" s="2" customFormat="1" hidden="1" x14ac:dyDescent="0.25">
      <c r="A273" s="32" t="s">
        <v>20</v>
      </c>
      <c r="B273" s="21" t="str">
        <f>_xlfn.XLOOKUP(A273,'Reference Master List'!$A:$A,'Reference Master List'!$B:$B,"NOT FOUND")</f>
        <v>Test and Evaluation</v>
      </c>
      <c r="C273" s="22">
        <v>3</v>
      </c>
      <c r="D273" s="23">
        <f>_xlfn.XLOOKUP(A273,'Reference Master List'!$A:$A,'Reference Master List'!$D:$D,"NOT FOUND")</f>
        <v>46168</v>
      </c>
      <c r="E273" s="24" t="s">
        <v>44</v>
      </c>
      <c r="F273" s="24">
        <v>2.1</v>
      </c>
      <c r="G273" s="33" t="str">
        <f>_xlfn.XLOOKUP(A273,'Reference Master List'!$A:$A,'Reference Master List'!$E:$E,"NOT FOUND")</f>
        <v>https://static.e-publishing.af.mil/production/1/af_te/publication/dodi5000.89_dafi99-103/dodi5000.89_dafi99-103.pdf</v>
      </c>
    </row>
    <row r="274" spans="1:7" s="2" customFormat="1" ht="45" hidden="1" x14ac:dyDescent="0.25">
      <c r="A274" s="32" t="s">
        <v>36</v>
      </c>
      <c r="B274" s="21" t="str">
        <f>_xlfn.XLOOKUP(A274,'Reference Master List'!$A:$A,'Reference Master List'!$B:$B,"NOT FOUND")</f>
        <v>Cybersecurity for Acquisition Decision Authorities and Program Managers</v>
      </c>
      <c r="C274" s="22" t="s">
        <v>49</v>
      </c>
      <c r="D274" s="23">
        <f>_xlfn.XLOOKUP(A274,'Reference Master List'!$A:$A,'Reference Master List'!$D:$D,"NOT FOUND")</f>
        <v>44196</v>
      </c>
      <c r="E274" s="24" t="s">
        <v>44</v>
      </c>
      <c r="F274" s="24">
        <v>2.1</v>
      </c>
      <c r="G274" s="33" t="str">
        <f>_xlfn.XLOOKUP(A274,'Reference Master List'!$A:$A,'Reference Master List'!$E:$E,"NOT FOUND")</f>
        <v>https://www.esd.whs.mil/Portals/54/Documents/DD/issuances/dodi/500090p.PDF?ver=MIG3uLnzXl31QcvXJTZ5uA%3d%3d</v>
      </c>
    </row>
    <row r="275" spans="1:7" s="2" customFormat="1" hidden="1" x14ac:dyDescent="0.25">
      <c r="A275" s="32" t="s">
        <v>46</v>
      </c>
      <c r="B275" s="21" t="str">
        <f>_xlfn.XLOOKUP(A275,'Reference Master List'!$A:$A,'Reference Master List'!$B:$B,"NOT FOUND")</f>
        <v>Autonmy in Weapon Systems</v>
      </c>
      <c r="C275" s="22" t="s">
        <v>226</v>
      </c>
      <c r="D275" s="23">
        <f>_xlfn.XLOOKUP(A275,'Reference Master List'!$A:$A,'Reference Master List'!$D:$D,"NOT FOUND")</f>
        <v>44951</v>
      </c>
      <c r="E275" s="24" t="s">
        <v>44</v>
      </c>
      <c r="F275" s="24" t="s">
        <v>227</v>
      </c>
      <c r="G275" s="33" t="str">
        <f>_xlfn.XLOOKUP(A275,'Reference Master List'!$A:$A,'Reference Master List'!$E:$E,"NOT FOUND")</f>
        <v>https://www.esd.whs.mil/Portals/54/Documents/DD/issuances/DODd/300009p.PDF</v>
      </c>
    </row>
    <row r="276" spans="1:7" s="2" customFormat="1" hidden="1" x14ac:dyDescent="0.25">
      <c r="A276" s="32" t="s">
        <v>17</v>
      </c>
      <c r="B276" s="21" t="str">
        <f>_xlfn.XLOOKUP(A276,'Reference Master List'!$A:$A,'Reference Master List'!$B:$B,"NOT FOUND")</f>
        <v>Test and Evaluation</v>
      </c>
      <c r="C276" s="22">
        <v>2</v>
      </c>
      <c r="D276" s="23">
        <f>_xlfn.XLOOKUP(A276,'Reference Master List'!$A:$A,'Reference Master List'!$D:$D,"NOT FOUND")</f>
        <v>44154</v>
      </c>
      <c r="E276" s="24" t="s">
        <v>44</v>
      </c>
      <c r="F276" s="24" t="s">
        <v>227</v>
      </c>
      <c r="G276" s="33" t="str">
        <f>_xlfn.XLOOKUP(A276,'Reference Master List'!$A:$A,'Reference Master List'!$E:$E,"NOT FOUND")</f>
        <v>https://www.esd.whs.mil/Portals/54/Documents/DD/issuances/dodi/500089p.PDF?ver=Plc85E0-NVNide91K3XQLA%3d%3d</v>
      </c>
    </row>
    <row r="277" spans="1:7" s="2" customFormat="1" hidden="1" x14ac:dyDescent="0.25">
      <c r="A277" s="32" t="s">
        <v>20</v>
      </c>
      <c r="B277" s="21" t="str">
        <f>_xlfn.XLOOKUP(A277,'Reference Master List'!$A:$A,'Reference Master List'!$B:$B,"NOT FOUND")</f>
        <v>Test and Evaluation</v>
      </c>
      <c r="C277" s="22">
        <v>2</v>
      </c>
      <c r="D277" s="23">
        <f>_xlfn.XLOOKUP(A277,'Reference Master List'!$A:$A,'Reference Master List'!$D:$D,"NOT FOUND")</f>
        <v>46168</v>
      </c>
      <c r="E277" s="24" t="s">
        <v>44</v>
      </c>
      <c r="F277" s="24" t="s">
        <v>227</v>
      </c>
      <c r="G277" s="33" t="str">
        <f>_xlfn.XLOOKUP(A277,'Reference Master List'!$A:$A,'Reference Master List'!$E:$E,"NOT FOUND")</f>
        <v>https://static.e-publishing.af.mil/production/1/af_te/publication/dodi5000.89_dafi99-103/dodi5000.89_dafi99-103.pdf</v>
      </c>
    </row>
    <row r="278" spans="1:7" s="2" customFormat="1" hidden="1" x14ac:dyDescent="0.25">
      <c r="A278" s="32" t="s">
        <v>17</v>
      </c>
      <c r="B278" s="21" t="str">
        <f>_xlfn.XLOOKUP(A278,'Reference Master List'!$A:$A,'Reference Master List'!$B:$B,"NOT FOUND")</f>
        <v>Test and Evaluation</v>
      </c>
      <c r="C278" s="22">
        <v>5</v>
      </c>
      <c r="D278" s="23">
        <f>_xlfn.XLOOKUP(A278,'Reference Master List'!$A:$A,'Reference Master List'!$D:$D,"NOT FOUND")</f>
        <v>44154</v>
      </c>
      <c r="E278" s="24" t="s">
        <v>44</v>
      </c>
      <c r="F278" s="24" t="s">
        <v>227</v>
      </c>
      <c r="G278" s="33" t="str">
        <f>_xlfn.XLOOKUP(A278,'Reference Master List'!$A:$A,'Reference Master List'!$E:$E,"NOT FOUND")</f>
        <v>https://www.esd.whs.mil/Portals/54/Documents/DD/issuances/dodi/500089p.PDF?ver=Plc85E0-NVNide91K3XQLA%3d%3d</v>
      </c>
    </row>
    <row r="279" spans="1:7" s="2" customFormat="1" hidden="1" x14ac:dyDescent="0.25">
      <c r="A279" s="32" t="s">
        <v>20</v>
      </c>
      <c r="B279" s="21" t="str">
        <f>_xlfn.XLOOKUP(A279,'Reference Master List'!$A:$A,'Reference Master List'!$B:$B,"NOT FOUND")</f>
        <v>Test and Evaluation</v>
      </c>
      <c r="C279" s="22">
        <v>5</v>
      </c>
      <c r="D279" s="23">
        <f>_xlfn.XLOOKUP(A279,'Reference Master List'!$A:$A,'Reference Master List'!$D:$D,"NOT FOUND")</f>
        <v>46168</v>
      </c>
      <c r="E279" s="24" t="s">
        <v>44</v>
      </c>
      <c r="F279" s="24" t="s">
        <v>227</v>
      </c>
      <c r="G279" s="33" t="str">
        <f>_xlfn.XLOOKUP(A279,'Reference Master List'!$A:$A,'Reference Master List'!$E:$E,"NOT FOUND")</f>
        <v>https://static.e-publishing.af.mil/production/1/af_te/publication/dodi5000.89_dafi99-103/dodi5000.89_dafi99-103.pdf</v>
      </c>
    </row>
    <row r="280" spans="1:7" s="2" customFormat="1" ht="45" hidden="1" x14ac:dyDescent="0.25">
      <c r="A280" s="32" t="s">
        <v>23</v>
      </c>
      <c r="B280" s="21" t="str">
        <f>_xlfn.XLOOKUP(A280,'Reference Master List'!$A:$A,'Reference Master List'!$B:$B,"NOT FOUND")</f>
        <v>Interoperability of Information Technology, Including National Security Systems</v>
      </c>
      <c r="C280" s="22" t="s">
        <v>228</v>
      </c>
      <c r="D280" s="23">
        <f>_xlfn.XLOOKUP(A280,'Reference Master List'!$A:$A,'Reference Master List'!$D:$D,"NOT FOUND")</f>
        <v>44831</v>
      </c>
      <c r="E280" s="24" t="s">
        <v>44</v>
      </c>
      <c r="F280" s="24" t="s">
        <v>227</v>
      </c>
      <c r="G280" s="33" t="str">
        <f>_xlfn.XLOOKUP(A280,'Reference Master List'!$A:$A,'Reference Master List'!$E:$E,"NOT FOUND")</f>
        <v>https://www.esd.whs.mil/Portals/54/Documents/DD/issuances/dodi/833001p.pdf?ver=c7Bds_aCFKSe7SK_MiYBIg%3d%3d</v>
      </c>
    </row>
    <row r="281" spans="1:7" s="2" customFormat="1" hidden="1" x14ac:dyDescent="0.25">
      <c r="A281" s="32" t="s">
        <v>17</v>
      </c>
      <c r="B281" s="21" t="str">
        <f>_xlfn.XLOOKUP(A281,'Reference Master List'!$A:$A,'Reference Master List'!$B:$B,"NOT FOUND")</f>
        <v>Test and Evaluation</v>
      </c>
      <c r="C281" s="22" t="s">
        <v>229</v>
      </c>
      <c r="D281" s="23">
        <f>_xlfn.XLOOKUP(A281,'Reference Master List'!$A:$A,'Reference Master List'!$D:$D,"NOT FOUND")</f>
        <v>44154</v>
      </c>
      <c r="E281" s="24" t="s">
        <v>44</v>
      </c>
      <c r="F281" s="24" t="s">
        <v>194</v>
      </c>
      <c r="G281" s="33" t="str">
        <f>_xlfn.XLOOKUP(A281,'Reference Master List'!$A:$A,'Reference Master List'!$E:$E,"NOT FOUND")</f>
        <v>https://www.esd.whs.mil/Portals/54/Documents/DD/issuances/dodi/500089p.PDF?ver=Plc85E0-NVNide91K3XQLA%3d%3d</v>
      </c>
    </row>
    <row r="282" spans="1:7" s="2" customFormat="1" hidden="1" x14ac:dyDescent="0.25">
      <c r="A282" s="32" t="s">
        <v>20</v>
      </c>
      <c r="B282" s="21" t="str">
        <f>_xlfn.XLOOKUP(A282,'Reference Master List'!$A:$A,'Reference Master List'!$B:$B,"NOT FOUND")</f>
        <v>Test and Evaluation</v>
      </c>
      <c r="C282" s="22" t="s">
        <v>229</v>
      </c>
      <c r="D282" s="23">
        <f>_xlfn.XLOOKUP(A282,'Reference Master List'!$A:$A,'Reference Master List'!$D:$D,"NOT FOUND")</f>
        <v>46168</v>
      </c>
      <c r="E282" s="24" t="s">
        <v>44</v>
      </c>
      <c r="F282" s="24" t="s">
        <v>194</v>
      </c>
      <c r="G282" s="33" t="str">
        <f>_xlfn.XLOOKUP(A282,'Reference Master List'!$A:$A,'Reference Master List'!$E:$E,"NOT FOUND")</f>
        <v>https://static.e-publishing.af.mil/production/1/af_te/publication/dodi5000.89_dafi99-103/dodi5000.89_dafi99-103.pdf</v>
      </c>
    </row>
    <row r="283" spans="1:7" s="2" customFormat="1" hidden="1" x14ac:dyDescent="0.25">
      <c r="A283" s="32" t="s">
        <v>17</v>
      </c>
      <c r="B283" s="21" t="str">
        <f>_xlfn.XLOOKUP(A283,'Reference Master List'!$A:$A,'Reference Master List'!$B:$B,"NOT FOUND")</f>
        <v>Test and Evaluation</v>
      </c>
      <c r="C283" s="22">
        <v>2</v>
      </c>
      <c r="D283" s="23">
        <f>_xlfn.XLOOKUP(A283,'Reference Master List'!$A:$A,'Reference Master List'!$D:$D,"NOT FOUND")</f>
        <v>44154</v>
      </c>
      <c r="E283" s="24" t="s">
        <v>44</v>
      </c>
      <c r="F283" s="24" t="s">
        <v>230</v>
      </c>
      <c r="G283" s="33" t="str">
        <f>_xlfn.XLOOKUP(A283,'Reference Master List'!$A:$A,'Reference Master List'!$E:$E,"NOT FOUND")</f>
        <v>https://www.esd.whs.mil/Portals/54/Documents/DD/issuances/dodi/500089p.PDF?ver=Plc85E0-NVNide91K3XQLA%3d%3d</v>
      </c>
    </row>
    <row r="284" spans="1:7" s="2" customFormat="1" hidden="1" x14ac:dyDescent="0.25">
      <c r="A284" s="32" t="s">
        <v>20</v>
      </c>
      <c r="B284" s="21" t="str">
        <f>_xlfn.XLOOKUP(A284,'Reference Master List'!$A:$A,'Reference Master List'!$B:$B,"NOT FOUND")</f>
        <v>Test and Evaluation</v>
      </c>
      <c r="C284" s="22">
        <v>2</v>
      </c>
      <c r="D284" s="23">
        <f>_xlfn.XLOOKUP(A284,'Reference Master List'!$A:$A,'Reference Master List'!$D:$D,"NOT FOUND")</f>
        <v>46168</v>
      </c>
      <c r="E284" s="24" t="s">
        <v>44</v>
      </c>
      <c r="F284" s="24" t="s">
        <v>230</v>
      </c>
      <c r="G284" s="33" t="str">
        <f>_xlfn.XLOOKUP(A284,'Reference Master List'!$A:$A,'Reference Master List'!$E:$E,"NOT FOUND")</f>
        <v>https://static.e-publishing.af.mil/production/1/af_te/publication/dodi5000.89_dafi99-103/dodi5000.89_dafi99-103.pdf</v>
      </c>
    </row>
    <row r="285" spans="1:7" s="2" customFormat="1" ht="30" hidden="1" x14ac:dyDescent="0.25">
      <c r="A285" s="32" t="s">
        <v>26</v>
      </c>
      <c r="B285" s="21" t="str">
        <f>_xlfn.XLOOKUP(A285,'Reference Master List'!$A:$A,'Reference Master List'!$B:$B,"NOT FOUND")</f>
        <v>Cybersecurity</v>
      </c>
      <c r="C285" s="22" t="s">
        <v>231</v>
      </c>
      <c r="D285" s="23">
        <f>_xlfn.XLOOKUP(A285,'Reference Master List'!$A:$A,'Reference Master List'!$D:$D,"NOT FOUND")</f>
        <v>43745</v>
      </c>
      <c r="E285" s="24" t="s">
        <v>44</v>
      </c>
      <c r="F285" s="24" t="s">
        <v>230</v>
      </c>
      <c r="G285" s="33" t="str">
        <f>_xlfn.XLOOKUP(A285,'Reference Master List'!$A:$A,'Reference Master List'!$E:$E,"NOT FOUND")</f>
        <v>https://www.esd.whs.mil/Portals/54/Documents/DD/issuances/dodi/850001_2014.pdf?ver=2019-10-07-112048-860</v>
      </c>
    </row>
    <row r="286" spans="1:7" s="2" customFormat="1" ht="45" hidden="1" x14ac:dyDescent="0.25">
      <c r="A286" s="32" t="s">
        <v>23</v>
      </c>
      <c r="B286" s="21" t="str">
        <f>_xlfn.XLOOKUP(A286,'Reference Master List'!$A:$A,'Reference Master List'!$B:$B,"NOT FOUND")</f>
        <v>Interoperability of Information Technology, Including National Security Systems</v>
      </c>
      <c r="C286" s="22" t="s">
        <v>232</v>
      </c>
      <c r="D286" s="23">
        <f>_xlfn.XLOOKUP(A286,'Reference Master List'!$A:$A,'Reference Master List'!$D:$D,"NOT FOUND")</f>
        <v>44831</v>
      </c>
      <c r="E286" s="24" t="s">
        <v>44</v>
      </c>
      <c r="F286" s="24" t="s">
        <v>230</v>
      </c>
      <c r="G286" s="33" t="str">
        <f>_xlfn.XLOOKUP(A286,'Reference Master List'!$A:$A,'Reference Master List'!$E:$E,"NOT FOUND")</f>
        <v>https://www.esd.whs.mil/Portals/54/Documents/DD/issuances/dodi/833001p.pdf?ver=c7Bds_aCFKSe7SK_MiYBIg%3d%3d</v>
      </c>
    </row>
    <row r="287" spans="1:7" ht="30" hidden="1" x14ac:dyDescent="0.25">
      <c r="A287" s="34" t="s">
        <v>397</v>
      </c>
      <c r="B287" s="21" t="str">
        <f>_xlfn.XLOOKUP(A287,'Reference Master List'!$A:$A,'Reference Master List'!$B:$B,"NOT FOUND")</f>
        <v>Cyber Operational Test and Evaluation Guidebook</v>
      </c>
      <c r="C287" s="22">
        <v>4.3</v>
      </c>
      <c r="D287" s="23">
        <f>_xlfn.XLOOKUP(A287,'Reference Master List'!$A:$A,'Reference Master List'!$D:$D,"NOT FOUND")</f>
        <v>45689</v>
      </c>
      <c r="E287" s="24" t="s">
        <v>44</v>
      </c>
      <c r="F287" s="24" t="s">
        <v>230</v>
      </c>
      <c r="G287" s="35" t="str">
        <f>_xlfn.XLOOKUP(A287,'Reference Master List'!$A:$A,'Reference Master List'!$E:$E,"NOT FOUND")</f>
        <v>https://www.dote.osd.mil/Portals/97/pub/guidebooks/2025/Cyber%20Operational%20Test%20and%20Evaluation%20Guidebook%2020250206%20w-cover%20memo%20(29625).pdf?ver=NIz6GX6cjZQjGtxAq4jo0w%3d%3d</v>
      </c>
    </row>
    <row r="288" spans="1:7" ht="30" hidden="1" x14ac:dyDescent="0.25">
      <c r="A288" s="34" t="s">
        <v>397</v>
      </c>
      <c r="B288" s="21" t="str">
        <f>_xlfn.XLOOKUP(A288,'Reference Master List'!$A:$A,'Reference Master List'!$B:$B,"NOT FOUND")</f>
        <v>Cyber Operational Test and Evaluation Guidebook</v>
      </c>
      <c r="C288" s="22">
        <v>4</v>
      </c>
      <c r="D288" s="23">
        <f>_xlfn.XLOOKUP(A288,'Reference Master List'!$A:$A,'Reference Master List'!$D:$D,"NOT FOUND")</f>
        <v>45689</v>
      </c>
      <c r="E288" s="24" t="s">
        <v>44</v>
      </c>
      <c r="F288" s="24" t="s">
        <v>233</v>
      </c>
      <c r="G288" s="35" t="str">
        <f>_xlfn.XLOOKUP(A288,'Reference Master List'!$A:$A,'Reference Master List'!$E:$E,"NOT FOUND")</f>
        <v>https://www.dote.osd.mil/Portals/97/pub/guidebooks/2025/Cyber%20Operational%20Test%20and%20Evaluation%20Guidebook%2020250206%20w-cover%20memo%20(29625).pdf?ver=NIz6GX6cjZQjGtxAq4jo0w%3d%3d</v>
      </c>
    </row>
    <row r="289" spans="1:7" ht="30" hidden="1" x14ac:dyDescent="0.25">
      <c r="A289" s="34" t="s">
        <v>397</v>
      </c>
      <c r="B289" s="21" t="str">
        <f>_xlfn.XLOOKUP(A289,'Reference Master List'!$A:$A,'Reference Master List'!$B:$B,"NOT FOUND")</f>
        <v>Cyber Operational Test and Evaluation Guidebook</v>
      </c>
      <c r="C289" s="22" t="s">
        <v>122</v>
      </c>
      <c r="D289" s="23">
        <f>_xlfn.XLOOKUP(A289,'Reference Master List'!$A:$A,'Reference Master List'!$D:$D,"NOT FOUND")</f>
        <v>45689</v>
      </c>
      <c r="E289" s="24" t="s">
        <v>44</v>
      </c>
      <c r="F289" s="24" t="s">
        <v>233</v>
      </c>
      <c r="G289" s="35" t="str">
        <f>_xlfn.XLOOKUP(A289,'Reference Master List'!$A:$A,'Reference Master List'!$E:$E,"NOT FOUND")</f>
        <v>https://www.dote.osd.mil/Portals/97/pub/guidebooks/2025/Cyber%20Operational%20Test%20and%20Evaluation%20Guidebook%2020250206%20w-cover%20memo%20(29625).pdf?ver=NIz6GX6cjZQjGtxAq4jo0w%3d%3d</v>
      </c>
    </row>
    <row r="290" spans="1:7" hidden="1" x14ac:dyDescent="0.25">
      <c r="A290" s="32" t="s">
        <v>17</v>
      </c>
      <c r="B290" s="21" t="str">
        <f>_xlfn.XLOOKUP(A290,'Reference Master List'!$A:$A,'Reference Master List'!$B:$B,"NOT FOUND")</f>
        <v>Test and Evaluation</v>
      </c>
      <c r="C290" s="22">
        <v>2</v>
      </c>
      <c r="D290" s="23">
        <f>_xlfn.XLOOKUP(A290,'Reference Master List'!$A:$A,'Reference Master List'!$D:$D,"NOT FOUND")</f>
        <v>44154</v>
      </c>
      <c r="E290" s="24" t="s">
        <v>44</v>
      </c>
      <c r="F290" s="24">
        <v>2.2000000000000002</v>
      </c>
      <c r="G290" s="33" t="str">
        <f>_xlfn.XLOOKUP(A290,'Reference Master List'!$A:$A,'Reference Master List'!$E:$E,"NOT FOUND")</f>
        <v>https://www.esd.whs.mil/Portals/54/Documents/DD/issuances/dodi/500089p.PDF?ver=Plc85E0-NVNide91K3XQLA%3d%3d</v>
      </c>
    </row>
    <row r="291" spans="1:7" hidden="1" x14ac:dyDescent="0.25">
      <c r="A291" s="32" t="s">
        <v>20</v>
      </c>
      <c r="B291" s="21" t="str">
        <f>_xlfn.XLOOKUP(A291,'Reference Master List'!$A:$A,'Reference Master List'!$B:$B,"NOT FOUND")</f>
        <v>Test and Evaluation</v>
      </c>
      <c r="C291" s="22">
        <v>2</v>
      </c>
      <c r="D291" s="23">
        <f>_xlfn.XLOOKUP(A291,'Reference Master List'!$A:$A,'Reference Master List'!$D:$D,"NOT FOUND")</f>
        <v>46168</v>
      </c>
      <c r="E291" s="24" t="s">
        <v>44</v>
      </c>
      <c r="F291" s="24">
        <v>2.2000000000000002</v>
      </c>
      <c r="G291" s="33" t="str">
        <f>_xlfn.XLOOKUP(A291,'Reference Master List'!$A:$A,'Reference Master List'!$E:$E,"NOT FOUND")</f>
        <v>https://static.e-publishing.af.mil/production/1/af_te/publication/dodi5000.89_dafi99-103/dodi5000.89_dafi99-103.pdf</v>
      </c>
    </row>
    <row r="292" spans="1:7" hidden="1" x14ac:dyDescent="0.25">
      <c r="A292" s="32" t="s">
        <v>26</v>
      </c>
      <c r="B292" s="21" t="str">
        <f>_xlfn.XLOOKUP(A292,'Reference Master List'!$A:$A,'Reference Master List'!$B:$B,"NOT FOUND")</f>
        <v>Cybersecurity</v>
      </c>
      <c r="C292" s="22" t="s">
        <v>234</v>
      </c>
      <c r="D292" s="23">
        <f>_xlfn.XLOOKUP(A292,'Reference Master List'!$A:$A,'Reference Master List'!$D:$D,"NOT FOUND")</f>
        <v>43745</v>
      </c>
      <c r="E292" s="24" t="s">
        <v>44</v>
      </c>
      <c r="F292" s="24">
        <v>2.2000000000000002</v>
      </c>
      <c r="G292" s="33" t="str">
        <f>_xlfn.XLOOKUP(A292,'Reference Master List'!$A:$A,'Reference Master List'!$E:$E,"NOT FOUND")</f>
        <v>https://www.esd.whs.mil/Portals/54/Documents/DD/issuances/dodi/850001_2014.pdf?ver=2019-10-07-112048-860</v>
      </c>
    </row>
    <row r="293" spans="1:7" hidden="1" x14ac:dyDescent="0.25">
      <c r="A293" s="32" t="s">
        <v>19</v>
      </c>
      <c r="B293" s="21" t="str">
        <f>_xlfn.XLOOKUP(A293,'Reference Master List'!$A:$A,'Reference Master List'!$B:$B,"NOT FOUND")</f>
        <v>Major Capability Acquisition</v>
      </c>
      <c r="C293" s="22">
        <v>3</v>
      </c>
      <c r="D293" s="23">
        <f>_xlfn.XLOOKUP(A293,'Reference Master List'!$A:$A,'Reference Master List'!$D:$D,"NOT FOUND")</f>
        <v>44049</v>
      </c>
      <c r="E293" s="24" t="s">
        <v>44</v>
      </c>
      <c r="F293" s="24">
        <v>2.2000000000000002</v>
      </c>
      <c r="G293" s="33" t="str">
        <f>_xlfn.XLOOKUP(A293,'Reference Master List'!$A:$A,'Reference Master List'!$E:$E,"NOT FOUND")</f>
        <v>https://www.esd.whs.mil/Portals/54/Documents/DD/issuances/dodi/500085p.pdf?ver=RYqeB690-qd-txjFEAZ72A%3d%3d</v>
      </c>
    </row>
    <row r="294" spans="1:7" hidden="1" x14ac:dyDescent="0.25">
      <c r="A294" s="32" t="s">
        <v>22</v>
      </c>
      <c r="B294" s="21" t="str">
        <f>_xlfn.XLOOKUP(A294,'Reference Master List'!$A:$A,'Reference Master List'!$B:$B,"NOT FOUND")</f>
        <v>Major Capability Acquisition</v>
      </c>
      <c r="C294" s="22">
        <v>3</v>
      </c>
      <c r="D294" s="23">
        <f>_xlfn.XLOOKUP(A294,'Reference Master List'!$A:$A,'Reference Master List'!$D:$D,"NOT FOUND")</f>
        <v>44792</v>
      </c>
      <c r="E294" s="24" t="s">
        <v>44</v>
      </c>
      <c r="F294" s="24">
        <v>2.2000000000000002</v>
      </c>
      <c r="G294" s="33" t="str">
        <f>_xlfn.XLOOKUP(A294,'Reference Master List'!$A:$A,'Reference Master List'!$E:$E,"NOT FOUND")</f>
        <v>https://static.e-publishing.af.mil/production/1/saf_aq/publication/dodi5000.85_dafi63-151/dodi5000.85_dafi63-151.pdf</v>
      </c>
    </row>
    <row r="295" spans="1:7" hidden="1" x14ac:dyDescent="0.25">
      <c r="A295" s="34" t="s">
        <v>372</v>
      </c>
      <c r="B295" s="21" t="str">
        <f>_xlfn.XLOOKUP(A295,'Reference Master List'!$A:$A,'Reference Master List'!$B:$B,"NOT FOUND")</f>
        <v>Test and Evaluation</v>
      </c>
      <c r="C295" s="22">
        <v>2.5</v>
      </c>
      <c r="D295" s="23">
        <f>_xlfn.XLOOKUP(A295,'Reference Master List'!$A:$A,'Reference Master List'!$D:$D,"NOT FOUND")</f>
        <v>46184</v>
      </c>
      <c r="E295" s="24" t="s">
        <v>44</v>
      </c>
      <c r="F295" s="24">
        <v>2.2000000000000002</v>
      </c>
      <c r="G295" s="33" t="str">
        <f>_xlfn.XLOOKUP(A295,'Reference Master List'!$A:$A,'Reference Master List'!$E:$E,"NOT FOUND")</f>
        <v>https://static.e-publishing.af.mil/production/1/acc/publication/acci99-101/acci99-101.pdf</v>
      </c>
    </row>
    <row r="296" spans="1:7" ht="30" hidden="1" x14ac:dyDescent="0.25">
      <c r="A296" s="32" t="s">
        <v>24</v>
      </c>
      <c r="B296" s="21" t="str">
        <f>_xlfn.XLOOKUP(A296,'Reference Master List'!$A:$A,'Reference Master List'!$B:$B,"NOT FOUND")</f>
        <v>Mission-Oriented Test Readiness Certification</v>
      </c>
      <c r="C296" s="22" t="s">
        <v>235</v>
      </c>
      <c r="D296" s="23">
        <f>_xlfn.XLOOKUP(A296,'Reference Master List'!$A:$A,'Reference Master List'!$D:$D,"NOT FOUND")</f>
        <v>44301</v>
      </c>
      <c r="E296" s="24" t="s">
        <v>44</v>
      </c>
      <c r="F296" s="24">
        <v>2.2000000000000002</v>
      </c>
      <c r="G296" s="33" t="str">
        <f>_xlfn.XLOOKUP(A296,'Reference Master List'!$A:$A,'Reference Master List'!$E:$E,"NOT FOUND")</f>
        <v>https://static.e-publishing.af.mil/production/1/saf_aq/publication/dafman63-119/dafman63-119.pdf</v>
      </c>
    </row>
    <row r="297" spans="1:7" s="2" customFormat="1" ht="30" hidden="1" x14ac:dyDescent="0.25">
      <c r="A297" s="32" t="s">
        <v>24</v>
      </c>
      <c r="B297" s="21" t="str">
        <f>_xlfn.XLOOKUP(A297,'Reference Master List'!$A:$A,'Reference Master List'!$B:$B,"NOT FOUND")</f>
        <v>Mission-Oriented Test Readiness Certification</v>
      </c>
      <c r="C297" s="22" t="s">
        <v>236</v>
      </c>
      <c r="D297" s="23">
        <f>_xlfn.XLOOKUP(A297,'Reference Master List'!$A:$A,'Reference Master List'!$D:$D,"NOT FOUND")</f>
        <v>44301</v>
      </c>
      <c r="E297" s="24" t="s">
        <v>44</v>
      </c>
      <c r="F297" s="24">
        <v>3.2</v>
      </c>
      <c r="G297" s="33" t="str">
        <f>_xlfn.XLOOKUP(A297,'Reference Master List'!$A:$A,'Reference Master List'!$E:$E,"NOT FOUND")</f>
        <v>https://static.e-publishing.af.mil/production/1/saf_aq/publication/dafman63-119/dafman63-119.pdf</v>
      </c>
    </row>
    <row r="298" spans="1:7" s="2" customFormat="1" hidden="1" x14ac:dyDescent="0.25">
      <c r="A298" s="32" t="s">
        <v>17</v>
      </c>
      <c r="B298" s="21" t="str">
        <f>_xlfn.XLOOKUP(A298,'Reference Master List'!$A:$A,'Reference Master List'!$B:$B,"NOT FOUND")</f>
        <v>Test and Evaluation</v>
      </c>
      <c r="C298" s="22" t="s">
        <v>237</v>
      </c>
      <c r="D298" s="23">
        <f>_xlfn.XLOOKUP(A298,'Reference Master List'!$A:$A,'Reference Master List'!$D:$D,"NOT FOUND")</f>
        <v>44154</v>
      </c>
      <c r="E298" s="24" t="s">
        <v>44</v>
      </c>
      <c r="F298" s="24" t="s">
        <v>195</v>
      </c>
      <c r="G298" s="33" t="str">
        <f>_xlfn.XLOOKUP(A298,'Reference Master List'!$A:$A,'Reference Master List'!$E:$E,"NOT FOUND")</f>
        <v>https://www.esd.whs.mil/Portals/54/Documents/DD/issuances/dodi/500089p.PDF?ver=Plc85E0-NVNide91K3XQLA%3d%3d</v>
      </c>
    </row>
    <row r="299" spans="1:7" s="2" customFormat="1" hidden="1" x14ac:dyDescent="0.25">
      <c r="A299" s="32" t="s">
        <v>20</v>
      </c>
      <c r="B299" s="21" t="str">
        <f>_xlfn.XLOOKUP(A299,'Reference Master List'!$A:$A,'Reference Master List'!$B:$B,"NOT FOUND")</f>
        <v>Test and Evaluation</v>
      </c>
      <c r="C299" s="22" t="s">
        <v>237</v>
      </c>
      <c r="D299" s="23">
        <f>_xlfn.XLOOKUP(A299,'Reference Master List'!$A:$A,'Reference Master List'!$D:$D,"NOT FOUND")</f>
        <v>46168</v>
      </c>
      <c r="E299" s="24" t="s">
        <v>44</v>
      </c>
      <c r="F299" s="24" t="s">
        <v>195</v>
      </c>
      <c r="G299" s="33" t="str">
        <f>_xlfn.XLOOKUP(A299,'Reference Master List'!$A:$A,'Reference Master List'!$E:$E,"NOT FOUND")</f>
        <v>https://static.e-publishing.af.mil/production/1/af_te/publication/dodi5000.89_dafi99-103/dodi5000.89_dafi99-103.pdf</v>
      </c>
    </row>
    <row r="300" spans="1:7" s="2" customFormat="1" hidden="1" x14ac:dyDescent="0.25">
      <c r="A300" s="32" t="s">
        <v>17</v>
      </c>
      <c r="B300" s="21" t="str">
        <f>_xlfn.XLOOKUP(A300,'Reference Master List'!$A:$A,'Reference Master List'!$B:$B,"NOT FOUND")</f>
        <v>Test and Evaluation</v>
      </c>
      <c r="C300" s="22" t="s">
        <v>153</v>
      </c>
      <c r="D300" s="23">
        <f>_xlfn.XLOOKUP(A300,'Reference Master List'!$A:$A,'Reference Master List'!$D:$D,"NOT FOUND")</f>
        <v>44154</v>
      </c>
      <c r="E300" s="24" t="s">
        <v>44</v>
      </c>
      <c r="F300" s="24" t="s">
        <v>196</v>
      </c>
      <c r="G300" s="33" t="str">
        <f>_xlfn.XLOOKUP(A300,'Reference Master List'!$A:$A,'Reference Master List'!$E:$E,"NOT FOUND")</f>
        <v>https://www.esd.whs.mil/Portals/54/Documents/DD/issuances/dodi/500089p.PDF?ver=Plc85E0-NVNide91K3XQLA%3d%3d</v>
      </c>
    </row>
    <row r="301" spans="1:7" s="2" customFormat="1" hidden="1" x14ac:dyDescent="0.25">
      <c r="A301" s="32" t="s">
        <v>20</v>
      </c>
      <c r="B301" s="21" t="str">
        <f>_xlfn.XLOOKUP(A301,'Reference Master List'!$A:$A,'Reference Master List'!$B:$B,"NOT FOUND")</f>
        <v>Test and Evaluation</v>
      </c>
      <c r="C301" s="22" t="s">
        <v>153</v>
      </c>
      <c r="D301" s="23">
        <f>_xlfn.XLOOKUP(A301,'Reference Master List'!$A:$A,'Reference Master List'!$D:$D,"NOT FOUND")</f>
        <v>46168</v>
      </c>
      <c r="E301" s="24" t="s">
        <v>44</v>
      </c>
      <c r="F301" s="24" t="s">
        <v>196</v>
      </c>
      <c r="G301" s="33" t="str">
        <f>_xlfn.XLOOKUP(A301,'Reference Master List'!$A:$A,'Reference Master List'!$E:$E,"NOT FOUND")</f>
        <v>https://static.e-publishing.af.mil/production/1/af_te/publication/dodi5000.89_dafi99-103/dodi5000.89_dafi99-103.pdf</v>
      </c>
    </row>
    <row r="302" spans="1:7" s="2" customFormat="1" hidden="1" x14ac:dyDescent="0.25">
      <c r="A302" s="32" t="s">
        <v>19</v>
      </c>
      <c r="B302" s="21" t="str">
        <f>_xlfn.XLOOKUP(A302,'Reference Master List'!$A:$A,'Reference Master List'!$B:$B,"NOT FOUND")</f>
        <v>Major Capability Acquisition</v>
      </c>
      <c r="C302" s="22">
        <v>3</v>
      </c>
      <c r="D302" s="23">
        <f>_xlfn.XLOOKUP(A302,'Reference Master List'!$A:$A,'Reference Master List'!$D:$D,"NOT FOUND")</f>
        <v>44049</v>
      </c>
      <c r="E302" s="24" t="s">
        <v>44</v>
      </c>
      <c r="F302" s="24" t="s">
        <v>195</v>
      </c>
      <c r="G302" s="33" t="str">
        <f>_xlfn.XLOOKUP(A302,'Reference Master List'!$A:$A,'Reference Master List'!$E:$E,"NOT FOUND")</f>
        <v>https://www.esd.whs.mil/Portals/54/Documents/DD/issuances/dodi/500085p.pdf?ver=RYqeB690-qd-txjFEAZ72A%3d%3d</v>
      </c>
    </row>
    <row r="303" spans="1:7" s="2" customFormat="1" hidden="1" x14ac:dyDescent="0.25">
      <c r="A303" s="32" t="s">
        <v>22</v>
      </c>
      <c r="B303" s="21" t="str">
        <f>_xlfn.XLOOKUP(A303,'Reference Master List'!$A:$A,'Reference Master List'!$B:$B,"NOT FOUND")</f>
        <v>Major Capability Acquisition</v>
      </c>
      <c r="C303" s="22">
        <v>3</v>
      </c>
      <c r="D303" s="23">
        <f>_xlfn.XLOOKUP(A303,'Reference Master List'!$A:$A,'Reference Master List'!$D:$D,"NOT FOUND")</f>
        <v>44792</v>
      </c>
      <c r="E303" s="24" t="s">
        <v>44</v>
      </c>
      <c r="F303" s="24" t="s">
        <v>195</v>
      </c>
      <c r="G303" s="33" t="str">
        <f>_xlfn.XLOOKUP(A303,'Reference Master List'!$A:$A,'Reference Master List'!$E:$E,"NOT FOUND")</f>
        <v>https://static.e-publishing.af.mil/production/1/saf_aq/publication/dodi5000.85_dafi63-151/dodi5000.85_dafi63-151.pdf</v>
      </c>
    </row>
    <row r="304" spans="1:7" s="2" customFormat="1" hidden="1" x14ac:dyDescent="0.25">
      <c r="A304" s="32" t="s">
        <v>46</v>
      </c>
      <c r="B304" s="21" t="str">
        <f>_xlfn.XLOOKUP(A304,'Reference Master List'!$A:$A,'Reference Master List'!$B:$B,"NOT FOUND")</f>
        <v>Autonmy in Weapon Systems</v>
      </c>
      <c r="C304" s="22" t="s">
        <v>238</v>
      </c>
      <c r="D304" s="23">
        <f>_xlfn.XLOOKUP(A304,'Reference Master List'!$A:$A,'Reference Master List'!$D:$D,"NOT FOUND")</f>
        <v>44951</v>
      </c>
      <c r="E304" s="24" t="s">
        <v>44</v>
      </c>
      <c r="F304" s="24" t="s">
        <v>196</v>
      </c>
      <c r="G304" s="33" t="str">
        <f>_xlfn.XLOOKUP(A304,'Reference Master List'!$A:$A,'Reference Master List'!$E:$E,"NOT FOUND")</f>
        <v>https://www.esd.whs.mil/Portals/54/Documents/DD/issuances/DODd/300009p.PDF</v>
      </c>
    </row>
    <row r="305" spans="1:7" s="2" customFormat="1" hidden="1" x14ac:dyDescent="0.25">
      <c r="A305" s="32" t="s">
        <v>26</v>
      </c>
      <c r="B305" s="21" t="str">
        <f>_xlfn.XLOOKUP(A305,'Reference Master List'!$A:$A,'Reference Master List'!$B:$B,"NOT FOUND")</f>
        <v>Cybersecurity</v>
      </c>
      <c r="C305" s="22" t="s">
        <v>281</v>
      </c>
      <c r="D305" s="23">
        <f>_xlfn.XLOOKUP(A305,'Reference Master List'!$A:$A,'Reference Master List'!$D:$D,"NOT FOUND")</f>
        <v>43745</v>
      </c>
      <c r="E305" s="24" t="s">
        <v>44</v>
      </c>
      <c r="F305" s="24" t="s">
        <v>196</v>
      </c>
      <c r="G305" s="33" t="str">
        <f>_xlfn.XLOOKUP(A305,'Reference Master List'!$A:$A,'Reference Master List'!$E:$E,"NOT FOUND")</f>
        <v>https://www.esd.whs.mil/Portals/54/Documents/DD/issuances/dodi/850001_2014.pdf?ver=2019-10-07-112048-860</v>
      </c>
    </row>
    <row r="306" spans="1:7" s="2" customFormat="1" hidden="1" x14ac:dyDescent="0.25">
      <c r="A306" s="32" t="s">
        <v>17</v>
      </c>
      <c r="B306" s="21" t="str">
        <f>_xlfn.XLOOKUP(A306,'Reference Master List'!$A:$A,'Reference Master List'!$B:$B,"NOT FOUND")</f>
        <v>Test and Evaluation</v>
      </c>
      <c r="C306" s="22">
        <v>2.1800000000000002</v>
      </c>
      <c r="D306" s="23">
        <f>_xlfn.XLOOKUP(A306,'Reference Master List'!$A:$A,'Reference Master List'!$D:$D,"NOT FOUND")</f>
        <v>44154</v>
      </c>
      <c r="E306" s="24" t="s">
        <v>44</v>
      </c>
      <c r="F306" s="24">
        <v>2.2999999999999998</v>
      </c>
      <c r="G306" s="33" t="str">
        <f>_xlfn.XLOOKUP(A306,'Reference Master List'!$A:$A,'Reference Master List'!$E:$E,"NOT FOUND")</f>
        <v>https://www.esd.whs.mil/Portals/54/Documents/DD/issuances/dodi/500089p.PDF?ver=Plc85E0-NVNide91K3XQLA%3d%3d</v>
      </c>
    </row>
    <row r="307" spans="1:7" s="2" customFormat="1" hidden="1" x14ac:dyDescent="0.25">
      <c r="A307" s="32" t="s">
        <v>20</v>
      </c>
      <c r="B307" s="21" t="str">
        <f>_xlfn.XLOOKUP(A307,'Reference Master List'!$A:$A,'Reference Master List'!$B:$B,"NOT FOUND")</f>
        <v>Test and Evaluation</v>
      </c>
      <c r="C307" s="22">
        <v>2.1800000000000002</v>
      </c>
      <c r="D307" s="23">
        <f>_xlfn.XLOOKUP(A307,'Reference Master List'!$A:$A,'Reference Master List'!$D:$D,"NOT FOUND")</f>
        <v>46168</v>
      </c>
      <c r="E307" s="24" t="s">
        <v>44</v>
      </c>
      <c r="F307" s="24">
        <v>2.2999999999999998</v>
      </c>
      <c r="G307" s="33" t="str">
        <f>_xlfn.XLOOKUP(A307,'Reference Master List'!$A:$A,'Reference Master List'!$E:$E,"NOT FOUND")</f>
        <v>https://static.e-publishing.af.mil/production/1/af_te/publication/dodi5000.89_dafi99-103/dodi5000.89_dafi99-103.pdf</v>
      </c>
    </row>
    <row r="308" spans="1:7" s="2" customFormat="1" ht="30" hidden="1" x14ac:dyDescent="0.25">
      <c r="A308" s="32" t="s">
        <v>24</v>
      </c>
      <c r="B308" s="21" t="str">
        <f>_xlfn.XLOOKUP(A308,'Reference Master List'!$A:$A,'Reference Master List'!$B:$B,"NOT FOUND")</f>
        <v>Mission-Oriented Test Readiness Certification</v>
      </c>
      <c r="C308" s="22">
        <v>3</v>
      </c>
      <c r="D308" s="23">
        <f>_xlfn.XLOOKUP(A308,'Reference Master List'!$A:$A,'Reference Master List'!$D:$D,"NOT FOUND")</f>
        <v>44301</v>
      </c>
      <c r="E308" s="24" t="s">
        <v>44</v>
      </c>
      <c r="F308" s="24">
        <v>2.2999999999999998</v>
      </c>
      <c r="G308" s="33" t="str">
        <f>_xlfn.XLOOKUP(A308,'Reference Master List'!$A:$A,'Reference Master List'!$E:$E,"NOT FOUND")</f>
        <v>https://static.e-publishing.af.mil/production/1/saf_aq/publication/dafman63-119/dafman63-119.pdf</v>
      </c>
    </row>
    <row r="309" spans="1:7" s="2" customFormat="1" hidden="1" x14ac:dyDescent="0.25">
      <c r="A309" s="32" t="s">
        <v>17</v>
      </c>
      <c r="B309" s="21" t="str">
        <f>_xlfn.XLOOKUP(A309,'Reference Master List'!$A:$A,'Reference Master List'!$B:$B,"NOT FOUND")</f>
        <v>Test and Evaluation</v>
      </c>
      <c r="C309" s="22">
        <v>2</v>
      </c>
      <c r="D309" s="23">
        <f>_xlfn.XLOOKUP(A309,'Reference Master List'!$A:$A,'Reference Master List'!$D:$D,"NOT FOUND")</f>
        <v>44154</v>
      </c>
      <c r="E309" s="24" t="s">
        <v>44</v>
      </c>
      <c r="F309" s="24" t="s">
        <v>201</v>
      </c>
      <c r="G309" s="33" t="str">
        <f>_xlfn.XLOOKUP(A309,'Reference Master List'!$A:$A,'Reference Master List'!$E:$E,"NOT FOUND")</f>
        <v>https://www.esd.whs.mil/Portals/54/Documents/DD/issuances/dodi/500089p.PDF?ver=Plc85E0-NVNide91K3XQLA%3d%3d</v>
      </c>
    </row>
    <row r="310" spans="1:7" s="2" customFormat="1" hidden="1" x14ac:dyDescent="0.25">
      <c r="A310" s="32" t="s">
        <v>20</v>
      </c>
      <c r="B310" s="21" t="str">
        <f>_xlfn.XLOOKUP(A310,'Reference Master List'!$A:$A,'Reference Master List'!$B:$B,"NOT FOUND")</f>
        <v>Test and Evaluation</v>
      </c>
      <c r="C310" s="22">
        <v>2</v>
      </c>
      <c r="D310" s="23">
        <f>_xlfn.XLOOKUP(A310,'Reference Master List'!$A:$A,'Reference Master List'!$D:$D,"NOT FOUND")</f>
        <v>46168</v>
      </c>
      <c r="E310" s="24" t="s">
        <v>44</v>
      </c>
      <c r="F310" s="24" t="s">
        <v>201</v>
      </c>
      <c r="G310" s="33" t="str">
        <f>_xlfn.XLOOKUP(A310,'Reference Master List'!$A:$A,'Reference Master List'!$E:$E,"NOT FOUND")</f>
        <v>https://static.e-publishing.af.mil/production/1/af_te/publication/dodi5000.89_dafi99-103/dodi5000.89_dafi99-103.pdf</v>
      </c>
    </row>
    <row r="311" spans="1:7" s="2" customFormat="1" ht="30" hidden="1" x14ac:dyDescent="0.25">
      <c r="A311" s="32" t="s">
        <v>24</v>
      </c>
      <c r="B311" s="21" t="str">
        <f>_xlfn.XLOOKUP(A311,'Reference Master List'!$A:$A,'Reference Master List'!$B:$B,"NOT FOUND")</f>
        <v>Mission-Oriented Test Readiness Certification</v>
      </c>
      <c r="C311" s="22">
        <v>2</v>
      </c>
      <c r="D311" s="23">
        <f>_xlfn.XLOOKUP(A311,'Reference Master List'!$A:$A,'Reference Master List'!$D:$D,"NOT FOUND")</f>
        <v>44301</v>
      </c>
      <c r="E311" s="24" t="s">
        <v>44</v>
      </c>
      <c r="F311" s="24" t="s">
        <v>201</v>
      </c>
      <c r="G311" s="33" t="str">
        <f>_xlfn.XLOOKUP(A311,'Reference Master List'!$A:$A,'Reference Master List'!$E:$E,"NOT FOUND")</f>
        <v>https://static.e-publishing.af.mil/production/1/saf_aq/publication/dafman63-119/dafman63-119.pdf</v>
      </c>
    </row>
    <row r="312" spans="1:7" s="2" customFormat="1" ht="30" hidden="1" x14ac:dyDescent="0.25">
      <c r="A312" s="32" t="s">
        <v>24</v>
      </c>
      <c r="B312" s="21" t="str">
        <f>_xlfn.XLOOKUP(A312,'Reference Master List'!$A:$A,'Reference Master List'!$B:$B,"NOT FOUND")</f>
        <v>Mission-Oriented Test Readiness Certification</v>
      </c>
      <c r="C312" s="22">
        <v>4</v>
      </c>
      <c r="D312" s="23">
        <f>_xlfn.XLOOKUP(A312,'Reference Master List'!$A:$A,'Reference Master List'!$D:$D,"NOT FOUND")</f>
        <v>44301</v>
      </c>
      <c r="E312" s="24" t="s">
        <v>44</v>
      </c>
      <c r="F312" s="24" t="s">
        <v>201</v>
      </c>
      <c r="G312" s="33" t="str">
        <f>_xlfn.XLOOKUP(A312,'Reference Master List'!$A:$A,'Reference Master List'!$E:$E,"NOT FOUND")</f>
        <v>https://static.e-publishing.af.mil/production/1/saf_aq/publication/dafman63-119/dafman63-119.pdf</v>
      </c>
    </row>
    <row r="313" spans="1:7" s="2" customFormat="1" ht="30" hidden="1" x14ac:dyDescent="0.25">
      <c r="A313" s="32" t="s">
        <v>24</v>
      </c>
      <c r="B313" s="21" t="str">
        <f>_xlfn.XLOOKUP(A313,'Reference Master List'!$A:$A,'Reference Master List'!$B:$B,"NOT FOUND")</f>
        <v>Mission-Oriented Test Readiness Certification</v>
      </c>
      <c r="C313" s="22">
        <v>1</v>
      </c>
      <c r="D313" s="23">
        <f>_xlfn.XLOOKUP(A313,'Reference Master List'!$A:$A,'Reference Master List'!$D:$D,"NOT FOUND")</f>
        <v>44301</v>
      </c>
      <c r="E313" s="24" t="s">
        <v>44</v>
      </c>
      <c r="F313" s="24" t="s">
        <v>201</v>
      </c>
      <c r="G313" s="33" t="str">
        <f>_xlfn.XLOOKUP(A313,'Reference Master List'!$A:$A,'Reference Master List'!$E:$E,"NOT FOUND")</f>
        <v>https://static.e-publishing.af.mil/production/1/saf_aq/publication/dafman63-119/dafman63-119.pdf</v>
      </c>
    </row>
    <row r="314" spans="1:7" s="2" customFormat="1" ht="30" hidden="1" x14ac:dyDescent="0.25">
      <c r="A314" s="32" t="s">
        <v>24</v>
      </c>
      <c r="B314" s="21" t="str">
        <f>_xlfn.XLOOKUP(A314,'Reference Master List'!$A:$A,'Reference Master List'!$B:$B,"NOT FOUND")</f>
        <v>Mission-Oriented Test Readiness Certification</v>
      </c>
      <c r="C314" s="22">
        <v>3</v>
      </c>
      <c r="D314" s="23">
        <f>_xlfn.XLOOKUP(A314,'Reference Master List'!$A:$A,'Reference Master List'!$D:$D,"NOT FOUND")</f>
        <v>44301</v>
      </c>
      <c r="E314" s="24" t="s">
        <v>44</v>
      </c>
      <c r="F314" s="24" t="s">
        <v>201</v>
      </c>
      <c r="G314" s="33" t="str">
        <f>_xlfn.XLOOKUP(A314,'Reference Master List'!$A:$A,'Reference Master List'!$E:$E,"NOT FOUND")</f>
        <v>https://static.e-publishing.af.mil/production/1/saf_aq/publication/dafman63-119/dafman63-119.pdf</v>
      </c>
    </row>
    <row r="315" spans="1:7" s="2" customFormat="1" ht="45" hidden="1" x14ac:dyDescent="0.25">
      <c r="A315" s="32" t="s">
        <v>9</v>
      </c>
      <c r="B315" s="21" t="str">
        <f>_xlfn.XLOOKUP(A315,'Reference Master List'!$A:$A,'Reference Master List'!$B:$B,"NOT FOUND")</f>
        <v>Technology and Program Protection to Maintain Technological Advantage</v>
      </c>
      <c r="C315" s="22" t="s">
        <v>142</v>
      </c>
      <c r="D315" s="23">
        <f>_xlfn.XLOOKUP(A315,'Reference Master List'!$A:$A,'Reference Master List'!$D:$D,"NOT FOUND")</f>
        <v>44337</v>
      </c>
      <c r="E315" s="24" t="s">
        <v>44</v>
      </c>
      <c r="F315" s="24">
        <v>2.4</v>
      </c>
      <c r="G315" s="33" t="str">
        <f>_xlfn.XLOOKUP(A315,'Reference Master List'!$A:$A,'Reference Master List'!$E:$E,"NOT FOUND")</f>
        <v>https://www.esd.whs.mil/Portals/54/Documents/DD/issuances/dodi/500083p.pdf?ver=fmz4Sx5tYVXnJZNKIoPoUQ%3d%3d</v>
      </c>
    </row>
    <row r="316" spans="1:7" s="2" customFormat="1" hidden="1" x14ac:dyDescent="0.25">
      <c r="A316" s="32" t="s">
        <v>17</v>
      </c>
      <c r="B316" s="21" t="str">
        <f>_xlfn.XLOOKUP(A316,'Reference Master List'!$A:$A,'Reference Master List'!$B:$B,"NOT FOUND")</f>
        <v>Test and Evaluation</v>
      </c>
      <c r="C316" s="22">
        <v>2.1800000000000002</v>
      </c>
      <c r="D316" s="23">
        <f>_xlfn.XLOOKUP(A316,'Reference Master List'!$A:$A,'Reference Master List'!$D:$D,"NOT FOUND")</f>
        <v>44154</v>
      </c>
      <c r="E316" s="24" t="s">
        <v>44</v>
      </c>
      <c r="F316" s="24" t="s">
        <v>239</v>
      </c>
      <c r="G316" s="33" t="str">
        <f>_xlfn.XLOOKUP(A316,'Reference Master List'!$A:$A,'Reference Master List'!$E:$E,"NOT FOUND")</f>
        <v>https://www.esd.whs.mil/Portals/54/Documents/DD/issuances/dodi/500089p.PDF?ver=Plc85E0-NVNide91K3XQLA%3d%3d</v>
      </c>
    </row>
    <row r="317" spans="1:7" s="2" customFormat="1" hidden="1" x14ac:dyDescent="0.25">
      <c r="A317" s="32" t="s">
        <v>20</v>
      </c>
      <c r="B317" s="21" t="str">
        <f>_xlfn.XLOOKUP(A317,'Reference Master List'!$A:$A,'Reference Master List'!$B:$B,"NOT FOUND")</f>
        <v>Test and Evaluation</v>
      </c>
      <c r="C317" s="22">
        <v>2.1800000000000002</v>
      </c>
      <c r="D317" s="23">
        <f>_xlfn.XLOOKUP(A317,'Reference Master List'!$A:$A,'Reference Master List'!$D:$D,"NOT FOUND")</f>
        <v>46168</v>
      </c>
      <c r="E317" s="24" t="s">
        <v>44</v>
      </c>
      <c r="F317" s="24" t="s">
        <v>239</v>
      </c>
      <c r="G317" s="33" t="str">
        <f>_xlfn.XLOOKUP(A317,'Reference Master List'!$A:$A,'Reference Master List'!$E:$E,"NOT FOUND")</f>
        <v>https://static.e-publishing.af.mil/production/1/af_te/publication/dodi5000.89_dafi99-103/dodi5000.89_dafi99-103.pdf</v>
      </c>
    </row>
    <row r="318" spans="1:7" s="2" customFormat="1" hidden="1" x14ac:dyDescent="0.25">
      <c r="A318" s="32" t="s">
        <v>26</v>
      </c>
      <c r="B318" s="21" t="str">
        <f>_xlfn.XLOOKUP(A318,'Reference Master List'!$A:$A,'Reference Master List'!$B:$B,"NOT FOUND")</f>
        <v>Cybersecurity</v>
      </c>
      <c r="C318" s="22" t="s">
        <v>282</v>
      </c>
      <c r="D318" s="23">
        <f>_xlfn.XLOOKUP(A318,'Reference Master List'!$A:$A,'Reference Master List'!$D:$D,"NOT FOUND")</f>
        <v>43745</v>
      </c>
      <c r="E318" s="24" t="s">
        <v>44</v>
      </c>
      <c r="F318" s="24" t="s">
        <v>239</v>
      </c>
      <c r="G318" s="33" t="str">
        <f>_xlfn.XLOOKUP(A318,'Reference Master List'!$A:$A,'Reference Master List'!$E:$E,"NOT FOUND")</f>
        <v>https://www.esd.whs.mil/Portals/54/Documents/DD/issuances/dodi/850001_2014.pdf?ver=2019-10-07-112048-860</v>
      </c>
    </row>
    <row r="319" spans="1:7" s="2" customFormat="1" ht="30" hidden="1" x14ac:dyDescent="0.25">
      <c r="A319" s="32" t="s">
        <v>37</v>
      </c>
      <c r="B319" s="21" t="str">
        <f>_xlfn.XLOOKUP(A319,'Reference Master List'!$A:$A,'Reference Master List'!$B:$B,"NOT FOUND")</f>
        <v>Human Systems Integration in Defense Acquisition</v>
      </c>
      <c r="C319" s="22" t="s">
        <v>95</v>
      </c>
      <c r="D319" s="23">
        <f>_xlfn.XLOOKUP(A319,'Reference Master List'!$A:$A,'Reference Master List'!$D:$D,"NOT FOUND")</f>
        <v>44652</v>
      </c>
      <c r="E319" s="24" t="s">
        <v>44</v>
      </c>
      <c r="F319" s="24" t="s">
        <v>239</v>
      </c>
      <c r="G319" s="33" t="str">
        <f>_xlfn.XLOOKUP(A319,'Reference Master List'!$A:$A,'Reference Master List'!$E:$E,"NOT FOUND")</f>
        <v>https://www.esd.whs.mil/Portals/54/Documents/DD/issuances/dodi/500095p.PDF?ver=C1L4ZM9Wi4Qa4p7JP7EPtA%3d%3d</v>
      </c>
    </row>
    <row r="320" spans="1:7" s="2" customFormat="1" ht="30" hidden="1" x14ac:dyDescent="0.25">
      <c r="A320" s="32" t="s">
        <v>18</v>
      </c>
      <c r="B320" s="21" t="str">
        <f>_xlfn.XLOOKUP(A320,'Reference Master List'!$A:$A,'Reference Master List'!$B:$B,"NOT FOUND")</f>
        <v>Operation of the Software Acquisition Pathway</v>
      </c>
      <c r="C320" s="22" t="s">
        <v>240</v>
      </c>
      <c r="D320" s="23">
        <f>_xlfn.XLOOKUP(A320,'Reference Master List'!$A:$A,'Reference Master List'!$D:$D,"NOT FOUND")</f>
        <v>44106</v>
      </c>
      <c r="E320" s="24" t="s">
        <v>44</v>
      </c>
      <c r="F320" s="24" t="s">
        <v>239</v>
      </c>
      <c r="G320" s="33" t="str">
        <f>_xlfn.XLOOKUP(A320,'Reference Master List'!$A:$A,'Reference Master List'!$E:$E,"NOT FOUND")</f>
        <v>https://www.esd.whs.mil/Portals/54/Documents/DD/issuances/dodi/500087p.PDF?ver=virAfQj4v_LgN1JxpB_dpA%3d%3d</v>
      </c>
    </row>
    <row r="321" spans="1:7" s="2" customFormat="1" ht="30" hidden="1" x14ac:dyDescent="0.25">
      <c r="A321" s="32" t="s">
        <v>21</v>
      </c>
      <c r="B321" s="21" t="str">
        <f>_xlfn.XLOOKUP(A321,'Reference Master List'!$A:$A,'Reference Master List'!$B:$B,"NOT FOUND")</f>
        <v>Operation of the Software Acquisition Pathway</v>
      </c>
      <c r="C321" s="22" t="s">
        <v>240</v>
      </c>
      <c r="D321" s="23">
        <f>_xlfn.XLOOKUP(A321,'Reference Master List'!$A:$A,'Reference Master List'!$D:$D,"NOT FOUND")</f>
        <v>44450</v>
      </c>
      <c r="E321" s="24" t="s">
        <v>44</v>
      </c>
      <c r="F321" s="24" t="s">
        <v>239</v>
      </c>
      <c r="G321" s="33" t="str">
        <f>_xlfn.XLOOKUP(A321,'Reference Master List'!$A:$A,'Reference Master List'!$E:$E,"NOT FOUND")</f>
        <v>https://static.e-publishing.af.mil/production/1/saf_aq/publication/dodi5000.87_dafi63-150/dodi5000.87_afi63-150.pdf</v>
      </c>
    </row>
    <row r="322" spans="1:7" s="2" customFormat="1" ht="45" hidden="1" x14ac:dyDescent="0.25">
      <c r="A322" s="32" t="s">
        <v>23</v>
      </c>
      <c r="B322" s="21" t="str">
        <f>_xlfn.XLOOKUP(A322,'Reference Master List'!$A:$A,'Reference Master List'!$B:$B,"NOT FOUND")</f>
        <v>Interoperability of Information Technology, Including National Security Systems</v>
      </c>
      <c r="C322" s="22">
        <v>3</v>
      </c>
      <c r="D322" s="23">
        <f>_xlfn.XLOOKUP(A322,'Reference Master List'!$A:$A,'Reference Master List'!$D:$D,"NOT FOUND")</f>
        <v>44831</v>
      </c>
      <c r="E322" s="24" t="s">
        <v>44</v>
      </c>
      <c r="F322" s="24" t="s">
        <v>239</v>
      </c>
      <c r="G322" s="33" t="str">
        <f>_xlfn.XLOOKUP(A322,'Reference Master List'!$A:$A,'Reference Master List'!$E:$E,"NOT FOUND")</f>
        <v>https://www.esd.whs.mil/Portals/54/Documents/DD/issuances/dodi/833001p.pdf?ver=c7Bds_aCFKSe7SK_MiYBIg%3d%3d</v>
      </c>
    </row>
    <row r="323" spans="1:7" s="2" customFormat="1" ht="45" hidden="1" x14ac:dyDescent="0.25">
      <c r="A323" s="32" t="s">
        <v>23</v>
      </c>
      <c r="B323" s="21" t="str">
        <f>_xlfn.XLOOKUP(A323,'Reference Master List'!$A:$A,'Reference Master List'!$B:$B,"NOT FOUND")</f>
        <v>Interoperability of Information Technology, Including National Security Systems</v>
      </c>
      <c r="C323" s="22">
        <v>3</v>
      </c>
      <c r="D323" s="23">
        <f>_xlfn.XLOOKUP(A323,'Reference Master List'!$A:$A,'Reference Master List'!$D:$D,"NOT FOUND")</f>
        <v>44831</v>
      </c>
      <c r="E323" s="24" t="s">
        <v>44</v>
      </c>
      <c r="F323" s="24">
        <v>2.4</v>
      </c>
      <c r="G323" s="33" t="str">
        <f>_xlfn.XLOOKUP(A323,'Reference Master List'!$A:$A,'Reference Master List'!$E:$E,"NOT FOUND")</f>
        <v>https://www.esd.whs.mil/Portals/54/Documents/DD/issuances/dodi/833001p.pdf?ver=c7Bds_aCFKSe7SK_MiYBIg%3d%3d</v>
      </c>
    </row>
    <row r="324" spans="1:7" s="2" customFormat="1" ht="30" hidden="1" x14ac:dyDescent="0.25">
      <c r="A324" s="32" t="s">
        <v>37</v>
      </c>
      <c r="B324" s="21" t="str">
        <f>_xlfn.XLOOKUP(A324,'Reference Master List'!$A:$A,'Reference Master List'!$B:$B,"NOT FOUND")</f>
        <v>Human Systems Integration in Defense Acquisition</v>
      </c>
      <c r="C324" s="22" t="s">
        <v>241</v>
      </c>
      <c r="D324" s="23">
        <f>_xlfn.XLOOKUP(A324,'Reference Master List'!$A:$A,'Reference Master List'!$D:$D,"NOT FOUND")</f>
        <v>44652</v>
      </c>
      <c r="E324" s="24" t="s">
        <v>44</v>
      </c>
      <c r="F324" s="24">
        <v>2.4</v>
      </c>
      <c r="G324" s="33" t="str">
        <f>_xlfn.XLOOKUP(A324,'Reference Master List'!$A:$A,'Reference Master List'!$E:$E,"NOT FOUND")</f>
        <v>https://www.esd.whs.mil/Portals/54/Documents/DD/issuances/dodi/500095p.PDF?ver=C1L4ZM9Wi4Qa4p7JP7EPtA%3d%3d</v>
      </c>
    </row>
    <row r="325" spans="1:7" s="2" customFormat="1" ht="30" hidden="1" x14ac:dyDescent="0.25">
      <c r="A325" s="32" t="s">
        <v>35</v>
      </c>
      <c r="B325" s="21" t="str">
        <f>_xlfn.XLOOKUP(A325,'Reference Master List'!$A:$A,'Reference Master List'!$B:$B,"NOT FOUND")</f>
        <v>Risk Management Framework for DoD Systems</v>
      </c>
      <c r="C325" s="22">
        <v>3</v>
      </c>
      <c r="D325" s="23">
        <f>_xlfn.XLOOKUP(A325,'Reference Master List'!$A:$A,'Reference Master List'!$D:$D,"NOT FOUND")</f>
        <v>44761</v>
      </c>
      <c r="E325" s="24" t="s">
        <v>44</v>
      </c>
      <c r="F325" s="24">
        <v>2.4</v>
      </c>
      <c r="G325" s="33" t="str">
        <f>_xlfn.XLOOKUP(A325,'Reference Master List'!$A:$A,'Reference Master List'!$E:$E,"NOT FOUND")</f>
        <v>https://www.esd.whs.mil/Portals/54/Documents/DD/issuances/dodi/851001p.pdf?ver=5YnACrAlUCPZ_qeq4T5nlg%3d%3d</v>
      </c>
    </row>
    <row r="326" spans="1:7" s="2" customFormat="1" ht="45" hidden="1" x14ac:dyDescent="0.25">
      <c r="A326" s="32" t="s">
        <v>38</v>
      </c>
      <c r="B326" s="21" t="str">
        <f>_xlfn.XLOOKUP(A326,'Reference Master List'!$A:$A,'Reference Master List'!$B:$B,"NOT FOUND")</f>
        <v>DoD Modeling and Simulation Verification, Validation, and Accreditation</v>
      </c>
      <c r="C326" s="22">
        <v>3.1</v>
      </c>
      <c r="D326" s="23">
        <f>_xlfn.XLOOKUP(A326,'Reference Master List'!$A:$A,'Reference Master List'!$D:$D,"NOT FOUND")</f>
        <v>45552</v>
      </c>
      <c r="E326" s="24" t="s">
        <v>44</v>
      </c>
      <c r="F326" s="24">
        <v>2.5</v>
      </c>
      <c r="G326" s="33" t="str">
        <f>_xlfn.XLOOKUP(A326,'Reference Master List'!$A:$A,'Reference Master List'!$E:$E,"NOT FOUND")</f>
        <v>https://www.esd.whs.mil/Portals/54/Documents/DD/issuances/dodi/500061p.pdf?ver=jRGu271k46n5T9NPRwT-sQ%3d%3d</v>
      </c>
    </row>
    <row r="327" spans="1:7" s="2" customFormat="1" hidden="1" x14ac:dyDescent="0.25">
      <c r="A327" s="32" t="s">
        <v>17</v>
      </c>
      <c r="B327" s="21" t="str">
        <f>_xlfn.XLOOKUP(A327,'Reference Master List'!$A:$A,'Reference Master List'!$B:$B,"NOT FOUND")</f>
        <v>Test and Evaluation</v>
      </c>
      <c r="C327" s="22" t="s">
        <v>242</v>
      </c>
      <c r="D327" s="23">
        <f>_xlfn.XLOOKUP(A327,'Reference Master List'!$A:$A,'Reference Master List'!$D:$D,"NOT FOUND")</f>
        <v>44154</v>
      </c>
      <c r="E327" s="24" t="s">
        <v>44</v>
      </c>
      <c r="F327" s="24">
        <v>2.5</v>
      </c>
      <c r="G327" s="33" t="str">
        <f>_xlfn.XLOOKUP(A327,'Reference Master List'!$A:$A,'Reference Master List'!$E:$E,"NOT FOUND")</f>
        <v>https://www.esd.whs.mil/Portals/54/Documents/DD/issuances/dodi/500089p.PDF?ver=Plc85E0-NVNide91K3XQLA%3d%3d</v>
      </c>
    </row>
    <row r="328" spans="1:7" hidden="1" x14ac:dyDescent="0.25">
      <c r="A328" s="32" t="s">
        <v>20</v>
      </c>
      <c r="B328" s="21" t="str">
        <f>_xlfn.XLOOKUP(A328,'Reference Master List'!$A:$A,'Reference Master List'!$B:$B,"NOT FOUND")</f>
        <v>Test and Evaluation</v>
      </c>
      <c r="C328" s="22" t="s">
        <v>242</v>
      </c>
      <c r="D328" s="23">
        <f>_xlfn.XLOOKUP(A328,'Reference Master List'!$A:$A,'Reference Master List'!$D:$D,"NOT FOUND")</f>
        <v>46168</v>
      </c>
      <c r="E328" s="24" t="s">
        <v>44</v>
      </c>
      <c r="F328" s="24">
        <v>2.5</v>
      </c>
      <c r="G328" s="33" t="str">
        <f>_xlfn.XLOOKUP(A328,'Reference Master List'!$A:$A,'Reference Master List'!$E:$E,"NOT FOUND")</f>
        <v>https://static.e-publishing.af.mil/production/1/af_te/publication/dodi5000.89_dafi99-103/dodi5000.89_dafi99-103.pdf</v>
      </c>
    </row>
    <row r="329" spans="1:7" hidden="1" x14ac:dyDescent="0.25">
      <c r="A329" s="32" t="s">
        <v>17</v>
      </c>
      <c r="B329" s="21" t="str">
        <f>_xlfn.XLOOKUP(A329,'Reference Master List'!$A:$A,'Reference Master List'!$B:$B,"NOT FOUND")</f>
        <v>Test and Evaluation</v>
      </c>
      <c r="C329" s="22">
        <v>2.2200000000000002</v>
      </c>
      <c r="D329" s="23">
        <f>_xlfn.XLOOKUP(A329,'Reference Master List'!$A:$A,'Reference Master List'!$D:$D,"NOT FOUND")</f>
        <v>44154</v>
      </c>
      <c r="E329" s="24" t="s">
        <v>44</v>
      </c>
      <c r="F329" s="24">
        <v>3</v>
      </c>
      <c r="G329" s="33" t="str">
        <f>_xlfn.XLOOKUP(A329,'Reference Master List'!$A:$A,'Reference Master List'!$E:$E,"NOT FOUND")</f>
        <v>https://www.esd.whs.mil/Portals/54/Documents/DD/issuances/dodi/500089p.PDF?ver=Plc85E0-NVNide91K3XQLA%3d%3d</v>
      </c>
    </row>
    <row r="330" spans="1:7" hidden="1" x14ac:dyDescent="0.25">
      <c r="A330" s="32" t="s">
        <v>17</v>
      </c>
      <c r="B330" s="21" t="str">
        <f>_xlfn.XLOOKUP(A330,'Reference Master List'!$A:$A,'Reference Master List'!$B:$B,"NOT FOUND")</f>
        <v>Test and Evaluation</v>
      </c>
      <c r="C330" s="22">
        <v>3.11</v>
      </c>
      <c r="D330" s="23">
        <f>_xlfn.XLOOKUP(A330,'Reference Master List'!$A:$A,'Reference Master List'!$D:$D,"NOT FOUND")</f>
        <v>44154</v>
      </c>
      <c r="E330" s="24" t="s">
        <v>44</v>
      </c>
      <c r="F330" s="24">
        <v>3.1</v>
      </c>
      <c r="G330" s="33" t="str">
        <f>_xlfn.XLOOKUP(A330,'Reference Master List'!$A:$A,'Reference Master List'!$E:$E,"NOT FOUND")</f>
        <v>https://www.esd.whs.mil/Portals/54/Documents/DD/issuances/dodi/500089p.PDF?ver=Plc85E0-NVNide91K3XQLA%3d%3d</v>
      </c>
    </row>
    <row r="331" spans="1:7" hidden="1" x14ac:dyDescent="0.25">
      <c r="A331" s="32" t="s">
        <v>20</v>
      </c>
      <c r="B331" s="21" t="str">
        <f>_xlfn.XLOOKUP(A331,'Reference Master List'!$A:$A,'Reference Master List'!$B:$B,"NOT FOUND")</f>
        <v>Test and Evaluation</v>
      </c>
      <c r="C331" s="22">
        <v>2.2200000000000002</v>
      </c>
      <c r="D331" s="23">
        <f>_xlfn.XLOOKUP(A331,'Reference Master List'!$A:$A,'Reference Master List'!$D:$D,"NOT FOUND")</f>
        <v>46168</v>
      </c>
      <c r="E331" s="24" t="s">
        <v>44</v>
      </c>
      <c r="F331" s="24">
        <v>3</v>
      </c>
      <c r="G331" s="33" t="str">
        <f>_xlfn.XLOOKUP(A331,'Reference Master List'!$A:$A,'Reference Master List'!$E:$E,"NOT FOUND")</f>
        <v>https://static.e-publishing.af.mil/production/1/af_te/publication/dodi5000.89_dafi99-103/dodi5000.89_dafi99-103.pdf</v>
      </c>
    </row>
    <row r="332" spans="1:7" hidden="1" x14ac:dyDescent="0.25">
      <c r="A332" s="32" t="s">
        <v>20</v>
      </c>
      <c r="B332" s="21" t="str">
        <f>_xlfn.XLOOKUP(A332,'Reference Master List'!$A:$A,'Reference Master List'!$B:$B,"NOT FOUND")</f>
        <v>Test and Evaluation</v>
      </c>
      <c r="C332" s="22">
        <v>3.11</v>
      </c>
      <c r="D332" s="23">
        <f>_xlfn.XLOOKUP(A332,'Reference Master List'!$A:$A,'Reference Master List'!$D:$D,"NOT FOUND")</f>
        <v>46168</v>
      </c>
      <c r="E332" s="24" t="s">
        <v>44</v>
      </c>
      <c r="F332" s="24">
        <v>3.1</v>
      </c>
      <c r="G332" s="33" t="str">
        <f>_xlfn.XLOOKUP(A332,'Reference Master List'!$A:$A,'Reference Master List'!$E:$E,"NOT FOUND")</f>
        <v>https://static.e-publishing.af.mil/production/1/af_te/publication/dodi5000.89_dafi99-103/dodi5000.89_dafi99-103.pdf</v>
      </c>
    </row>
    <row r="333" spans="1:7" ht="45" hidden="1" x14ac:dyDescent="0.25">
      <c r="A333" s="32" t="s">
        <v>23</v>
      </c>
      <c r="B333" s="21" t="str">
        <f>_xlfn.XLOOKUP(A333,'Reference Master List'!$A:$A,'Reference Master List'!$B:$B,"NOT FOUND")</f>
        <v>Interoperability of Information Technology, Including National Security Systems</v>
      </c>
      <c r="C333" s="22" t="s">
        <v>243</v>
      </c>
      <c r="D333" s="23">
        <f>_xlfn.XLOOKUP(A333,'Reference Master List'!$A:$A,'Reference Master List'!$D:$D,"NOT FOUND")</f>
        <v>44831</v>
      </c>
      <c r="E333" s="24" t="s">
        <v>44</v>
      </c>
      <c r="F333" s="24">
        <v>3.1</v>
      </c>
      <c r="G333" s="33" t="str">
        <f>_xlfn.XLOOKUP(A333,'Reference Master List'!$A:$A,'Reference Master List'!$E:$E,"NOT FOUND")</f>
        <v>https://www.esd.whs.mil/Portals/54/Documents/DD/issuances/dodi/833001p.pdf?ver=c7Bds_aCFKSe7SK_MiYBIg%3d%3d</v>
      </c>
    </row>
    <row r="334" spans="1:7" hidden="1" x14ac:dyDescent="0.25">
      <c r="A334" s="32" t="s">
        <v>29</v>
      </c>
      <c r="B334" s="21" t="str">
        <f>_xlfn.XLOOKUP(A334,'Reference Master List'!$A:$A,'Reference Master List'!$B:$B,"NOT FOUND")</f>
        <v>Acquisition Intelligence</v>
      </c>
      <c r="C334" s="22" t="s">
        <v>50</v>
      </c>
      <c r="D334" s="23">
        <f>_xlfn.XLOOKUP(A334,'Reference Master List'!$A:$A,'Reference Master List'!$D:$D,"NOT FOUND")</f>
        <v>45707</v>
      </c>
      <c r="E334" s="24" t="s">
        <v>44</v>
      </c>
      <c r="F334" s="24">
        <v>3.1</v>
      </c>
      <c r="G334" s="33" t="str">
        <f>_xlfn.XLOOKUP(A334,'Reference Master List'!$A:$A,'Reference Master List'!$E:$E,"NOT FOUND")</f>
        <v>https://static.e-publishing.af.mil/production/1/af_a2_6/publication/dafi14-411/dafi14-411.pdf</v>
      </c>
    </row>
    <row r="335" spans="1:7" hidden="1" x14ac:dyDescent="0.25">
      <c r="A335" s="34" t="s">
        <v>372</v>
      </c>
      <c r="B335" s="21" t="str">
        <f>_xlfn.XLOOKUP(A335,'Reference Master List'!$A:$A,'Reference Master List'!$B:$B,"NOT FOUND")</f>
        <v>Test and Evaluation</v>
      </c>
      <c r="C335" s="22">
        <v>2</v>
      </c>
      <c r="D335" s="23">
        <f>_xlfn.XLOOKUP(A335,'Reference Master List'!$A:$A,'Reference Master List'!$D:$D,"NOT FOUND")</f>
        <v>46184</v>
      </c>
      <c r="E335" s="24" t="s">
        <v>44</v>
      </c>
      <c r="F335" s="24">
        <v>3.1</v>
      </c>
      <c r="G335" s="33" t="str">
        <f>_xlfn.XLOOKUP(A335,'Reference Master List'!$A:$A,'Reference Master List'!$E:$E,"NOT FOUND")</f>
        <v>https://static.e-publishing.af.mil/production/1/acc/publication/acci99-101/acci99-101.pdf</v>
      </c>
    </row>
    <row r="336" spans="1:7" ht="30" hidden="1" x14ac:dyDescent="0.25">
      <c r="A336" s="32" t="s">
        <v>24</v>
      </c>
      <c r="B336" s="21" t="str">
        <f>_xlfn.XLOOKUP(A336,'Reference Master List'!$A:$A,'Reference Master List'!$B:$B,"NOT FOUND")</f>
        <v>Mission-Oriented Test Readiness Certification</v>
      </c>
      <c r="C336" s="22" t="s">
        <v>244</v>
      </c>
      <c r="D336" s="23">
        <f>_xlfn.XLOOKUP(A336,'Reference Master List'!$A:$A,'Reference Master List'!$D:$D,"NOT FOUND")</f>
        <v>44301</v>
      </c>
      <c r="E336" s="24" t="s">
        <v>44</v>
      </c>
      <c r="F336" s="24">
        <v>3.2</v>
      </c>
      <c r="G336" s="33" t="str">
        <f>_xlfn.XLOOKUP(A336,'Reference Master List'!$A:$A,'Reference Master List'!$E:$E,"NOT FOUND")</f>
        <v>https://static.e-publishing.af.mil/production/1/saf_aq/publication/dafman63-119/dafman63-119.pdf</v>
      </c>
    </row>
    <row r="337" spans="1:7" ht="30" hidden="1" x14ac:dyDescent="0.25">
      <c r="A337" s="32" t="s">
        <v>24</v>
      </c>
      <c r="B337" s="21" t="str">
        <f>_xlfn.XLOOKUP(A337,'Reference Master List'!$A:$A,'Reference Master List'!$B:$B,"NOT FOUND")</f>
        <v>Mission-Oriented Test Readiness Certification</v>
      </c>
      <c r="C337" s="22" t="s">
        <v>245</v>
      </c>
      <c r="D337" s="23">
        <f>_xlfn.XLOOKUP(A337,'Reference Master List'!$A:$A,'Reference Master List'!$D:$D,"NOT FOUND")</f>
        <v>44301</v>
      </c>
      <c r="E337" s="24" t="s">
        <v>44</v>
      </c>
      <c r="F337" s="24">
        <v>3.2</v>
      </c>
      <c r="G337" s="33" t="str">
        <f>_xlfn.XLOOKUP(A337,'Reference Master List'!$A:$A,'Reference Master List'!$E:$E,"NOT FOUND")</f>
        <v>https://static.e-publishing.af.mil/production/1/saf_aq/publication/dafman63-119/dafman63-119.pdf</v>
      </c>
    </row>
    <row r="338" spans="1:7" s="2" customFormat="1" ht="30" hidden="1" x14ac:dyDescent="0.25">
      <c r="A338" s="32" t="s">
        <v>24</v>
      </c>
      <c r="B338" s="21" t="str">
        <f>_xlfn.XLOOKUP(A338,'Reference Master List'!$A:$A,'Reference Master List'!$B:$B,"NOT FOUND")</f>
        <v>Mission-Oriented Test Readiness Certification</v>
      </c>
      <c r="C338" s="22" t="s">
        <v>246</v>
      </c>
      <c r="D338" s="23">
        <f>_xlfn.XLOOKUP(A338,'Reference Master List'!$A:$A,'Reference Master List'!$D:$D,"NOT FOUND")</f>
        <v>44301</v>
      </c>
      <c r="E338" s="24" t="s">
        <v>44</v>
      </c>
      <c r="F338" s="24">
        <v>3.2</v>
      </c>
      <c r="G338" s="33" t="str">
        <f>_xlfn.XLOOKUP(A338,'Reference Master List'!$A:$A,'Reference Master List'!$E:$E,"NOT FOUND")</f>
        <v>https://static.e-publishing.af.mil/production/1/saf_aq/publication/dafman63-119/dafman63-119.pdf</v>
      </c>
    </row>
    <row r="339" spans="1:7" s="2" customFormat="1" hidden="1" x14ac:dyDescent="0.25">
      <c r="A339" s="32" t="s">
        <v>17</v>
      </c>
      <c r="B339" s="21" t="str">
        <f>_xlfn.XLOOKUP(A339,'Reference Master List'!$A:$A,'Reference Master List'!$B:$B,"NOT FOUND")</f>
        <v>Test and Evaluation</v>
      </c>
      <c r="C339" s="22" t="s">
        <v>247</v>
      </c>
      <c r="D339" s="23">
        <f>_xlfn.XLOOKUP(A339,'Reference Master List'!$A:$A,'Reference Master List'!$D:$D,"NOT FOUND")</f>
        <v>44154</v>
      </c>
      <c r="E339" s="24" t="s">
        <v>44</v>
      </c>
      <c r="F339" s="24">
        <v>3.3</v>
      </c>
      <c r="G339" s="33" t="str">
        <f>_xlfn.XLOOKUP(A339,'Reference Master List'!$A:$A,'Reference Master List'!$E:$E,"NOT FOUND")</f>
        <v>https://www.esd.whs.mil/Portals/54/Documents/DD/issuances/dodi/500089p.PDF?ver=Plc85E0-NVNide91K3XQLA%3d%3d</v>
      </c>
    </row>
    <row r="340" spans="1:7" s="2" customFormat="1" hidden="1" x14ac:dyDescent="0.25">
      <c r="A340" s="32" t="s">
        <v>20</v>
      </c>
      <c r="B340" s="21" t="str">
        <f>_xlfn.XLOOKUP(A340,'Reference Master List'!$A:$A,'Reference Master List'!$B:$B,"NOT FOUND")</f>
        <v>Test and Evaluation</v>
      </c>
      <c r="C340" s="22" t="s">
        <v>247</v>
      </c>
      <c r="D340" s="23">
        <f>_xlfn.XLOOKUP(A340,'Reference Master List'!$A:$A,'Reference Master List'!$D:$D,"NOT FOUND")</f>
        <v>46168</v>
      </c>
      <c r="E340" s="24" t="s">
        <v>44</v>
      </c>
      <c r="F340" s="24">
        <v>3.3</v>
      </c>
      <c r="G340" s="33" t="str">
        <f>_xlfn.XLOOKUP(A340,'Reference Master List'!$A:$A,'Reference Master List'!$E:$E,"NOT FOUND")</f>
        <v>https://static.e-publishing.af.mil/production/1/af_te/publication/dodi5000.89_dafi99-103/dodi5000.89_dafi99-103.pdf</v>
      </c>
    </row>
    <row r="341" spans="1:7" s="2" customFormat="1" ht="30" hidden="1" x14ac:dyDescent="0.25">
      <c r="A341" s="32" t="s">
        <v>24</v>
      </c>
      <c r="B341" s="21" t="str">
        <f>_xlfn.XLOOKUP(A341,'Reference Master List'!$A:$A,'Reference Master List'!$B:$B,"NOT FOUND")</f>
        <v>Mission-Oriented Test Readiness Certification</v>
      </c>
      <c r="C341" s="22" t="s">
        <v>248</v>
      </c>
      <c r="D341" s="23">
        <f>_xlfn.XLOOKUP(A341,'Reference Master List'!$A:$A,'Reference Master List'!$D:$D,"NOT FOUND")</f>
        <v>44301</v>
      </c>
      <c r="E341" s="24" t="s">
        <v>44</v>
      </c>
      <c r="F341" s="24">
        <v>3.3</v>
      </c>
      <c r="G341" s="33" t="str">
        <f>_xlfn.XLOOKUP(A341,'Reference Master List'!$A:$A,'Reference Master List'!$E:$E,"NOT FOUND")</f>
        <v>https://static.e-publishing.af.mil/production/1/saf_aq/publication/dafman63-119/dafman63-119.pdf</v>
      </c>
    </row>
    <row r="342" spans="1:7" s="2" customFormat="1" ht="30" hidden="1" x14ac:dyDescent="0.25">
      <c r="A342" s="32" t="s">
        <v>24</v>
      </c>
      <c r="B342" s="21" t="str">
        <f>_xlfn.XLOOKUP(A342,'Reference Master List'!$A:$A,'Reference Master List'!$B:$B,"NOT FOUND")</f>
        <v>Mission-Oriented Test Readiness Certification</v>
      </c>
      <c r="C342" s="22" t="s">
        <v>249</v>
      </c>
      <c r="D342" s="23">
        <f>_xlfn.XLOOKUP(A342,'Reference Master List'!$A:$A,'Reference Master List'!$D:$D,"NOT FOUND")</f>
        <v>44301</v>
      </c>
      <c r="E342" s="24" t="s">
        <v>44</v>
      </c>
      <c r="F342" s="24">
        <v>3.3</v>
      </c>
      <c r="G342" s="33" t="str">
        <f>_xlfn.XLOOKUP(A342,'Reference Master List'!$A:$A,'Reference Master List'!$E:$E,"NOT FOUND")</f>
        <v>https://static.e-publishing.af.mil/production/1/saf_aq/publication/dafman63-119/dafman63-119.pdf</v>
      </c>
    </row>
    <row r="343" spans="1:7" s="2" customFormat="1" ht="30" hidden="1" x14ac:dyDescent="0.25">
      <c r="A343" s="32" t="s">
        <v>24</v>
      </c>
      <c r="B343" s="21" t="str">
        <f>_xlfn.XLOOKUP(A343,'Reference Master List'!$A:$A,'Reference Master List'!$B:$B,"NOT FOUND")</f>
        <v>Mission-Oriented Test Readiness Certification</v>
      </c>
      <c r="C343" s="22" t="s">
        <v>250</v>
      </c>
      <c r="D343" s="23">
        <f>_xlfn.XLOOKUP(A343,'Reference Master List'!$A:$A,'Reference Master List'!$D:$D,"NOT FOUND")</f>
        <v>44301</v>
      </c>
      <c r="E343" s="24" t="s">
        <v>44</v>
      </c>
      <c r="F343" s="24">
        <v>3.3</v>
      </c>
      <c r="G343" s="33" t="str">
        <f>_xlfn.XLOOKUP(A343,'Reference Master List'!$A:$A,'Reference Master List'!$E:$E,"NOT FOUND")</f>
        <v>https://static.e-publishing.af.mil/production/1/saf_aq/publication/dafman63-119/dafman63-119.pdf</v>
      </c>
    </row>
    <row r="344" spans="1:7" s="2" customFormat="1" ht="30" hidden="1" x14ac:dyDescent="0.25">
      <c r="A344" s="32" t="s">
        <v>24</v>
      </c>
      <c r="B344" s="21" t="str">
        <f>_xlfn.XLOOKUP(A344,'Reference Master List'!$A:$A,'Reference Master List'!$B:$B,"NOT FOUND")</f>
        <v>Mission-Oriented Test Readiness Certification</v>
      </c>
      <c r="C344" s="22" t="s">
        <v>251</v>
      </c>
      <c r="D344" s="23">
        <f>_xlfn.XLOOKUP(A344,'Reference Master List'!$A:$A,'Reference Master List'!$D:$D,"NOT FOUND")</f>
        <v>44301</v>
      </c>
      <c r="E344" s="24" t="s">
        <v>44</v>
      </c>
      <c r="F344" s="24">
        <v>3.3</v>
      </c>
      <c r="G344" s="33" t="str">
        <f>_xlfn.XLOOKUP(A344,'Reference Master List'!$A:$A,'Reference Master List'!$E:$E,"NOT FOUND")</f>
        <v>https://static.e-publishing.af.mil/production/1/saf_aq/publication/dafman63-119/dafman63-119.pdf</v>
      </c>
    </row>
    <row r="345" spans="1:7" s="2" customFormat="1" ht="30" hidden="1" x14ac:dyDescent="0.25">
      <c r="A345" s="32" t="s">
        <v>24</v>
      </c>
      <c r="B345" s="21" t="str">
        <f>_xlfn.XLOOKUP(A345,'Reference Master List'!$A:$A,'Reference Master List'!$B:$B,"NOT FOUND")</f>
        <v>Mission-Oriented Test Readiness Certification</v>
      </c>
      <c r="C345" s="22" t="s">
        <v>252</v>
      </c>
      <c r="D345" s="23">
        <f>_xlfn.XLOOKUP(A345,'Reference Master List'!$A:$A,'Reference Master List'!$D:$D,"NOT FOUND")</f>
        <v>44301</v>
      </c>
      <c r="E345" s="24" t="s">
        <v>44</v>
      </c>
      <c r="F345" s="24">
        <v>3.3</v>
      </c>
      <c r="G345" s="33" t="str">
        <f>_xlfn.XLOOKUP(A345,'Reference Master List'!$A:$A,'Reference Master List'!$E:$E,"NOT FOUND")</f>
        <v>https://static.e-publishing.af.mil/production/1/saf_aq/publication/dafman63-119/dafman63-119.pdf</v>
      </c>
    </row>
    <row r="346" spans="1:7" s="2" customFormat="1" ht="30" hidden="1" x14ac:dyDescent="0.25">
      <c r="A346" s="32" t="s">
        <v>24</v>
      </c>
      <c r="B346" s="21" t="str">
        <f>_xlfn.XLOOKUP(A346,'Reference Master List'!$A:$A,'Reference Master List'!$B:$B,"NOT FOUND")</f>
        <v>Mission-Oriented Test Readiness Certification</v>
      </c>
      <c r="C346" s="22" t="s">
        <v>253</v>
      </c>
      <c r="D346" s="23">
        <f>_xlfn.XLOOKUP(A346,'Reference Master List'!$A:$A,'Reference Master List'!$D:$D,"NOT FOUND")</f>
        <v>44301</v>
      </c>
      <c r="E346" s="24" t="s">
        <v>44</v>
      </c>
      <c r="F346" s="24">
        <v>3.3</v>
      </c>
      <c r="G346" s="33" t="str">
        <f>_xlfn.XLOOKUP(A346,'Reference Master List'!$A:$A,'Reference Master List'!$E:$E,"NOT FOUND")</f>
        <v>https://static.e-publishing.af.mil/production/1/saf_aq/publication/dafman63-119/dafman63-119.pdf</v>
      </c>
    </row>
    <row r="347" spans="1:7" s="2" customFormat="1" ht="30" hidden="1" x14ac:dyDescent="0.25">
      <c r="A347" s="32" t="s">
        <v>24</v>
      </c>
      <c r="B347" s="21" t="str">
        <f>_xlfn.XLOOKUP(A347,'Reference Master List'!$A:$A,'Reference Master List'!$B:$B,"NOT FOUND")</f>
        <v>Mission-Oriented Test Readiness Certification</v>
      </c>
      <c r="C347" s="22" t="s">
        <v>254</v>
      </c>
      <c r="D347" s="23">
        <f>_xlfn.XLOOKUP(A347,'Reference Master List'!$A:$A,'Reference Master List'!$D:$D,"NOT FOUND")</f>
        <v>44301</v>
      </c>
      <c r="E347" s="24" t="s">
        <v>44</v>
      </c>
      <c r="F347" s="24">
        <v>3.3</v>
      </c>
      <c r="G347" s="33" t="str">
        <f>_xlfn.XLOOKUP(A347,'Reference Master List'!$A:$A,'Reference Master List'!$E:$E,"NOT FOUND")</f>
        <v>https://static.e-publishing.af.mil/production/1/saf_aq/publication/dafman63-119/dafman63-119.pdf</v>
      </c>
    </row>
    <row r="348" spans="1:7" s="2" customFormat="1" ht="30" hidden="1" x14ac:dyDescent="0.25">
      <c r="A348" s="32" t="s">
        <v>24</v>
      </c>
      <c r="B348" s="21" t="str">
        <f>_xlfn.XLOOKUP(A348,'Reference Master List'!$A:$A,'Reference Master List'!$B:$B,"NOT FOUND")</f>
        <v>Mission-Oriented Test Readiness Certification</v>
      </c>
      <c r="C348" s="22" t="s">
        <v>255</v>
      </c>
      <c r="D348" s="23">
        <f>_xlfn.XLOOKUP(A348,'Reference Master List'!$A:$A,'Reference Master List'!$D:$D,"NOT FOUND")</f>
        <v>44301</v>
      </c>
      <c r="E348" s="24" t="s">
        <v>44</v>
      </c>
      <c r="F348" s="24">
        <v>3.3</v>
      </c>
      <c r="G348" s="33" t="str">
        <f>_xlfn.XLOOKUP(A348,'Reference Master List'!$A:$A,'Reference Master List'!$E:$E,"NOT FOUND")</f>
        <v>https://static.e-publishing.af.mil/production/1/saf_aq/publication/dafman63-119/dafman63-119.pdf</v>
      </c>
    </row>
    <row r="349" spans="1:7" s="2" customFormat="1" ht="30" hidden="1" x14ac:dyDescent="0.25">
      <c r="A349" s="32" t="s">
        <v>24</v>
      </c>
      <c r="B349" s="21" t="str">
        <f>_xlfn.XLOOKUP(A349,'Reference Master List'!$A:$A,'Reference Master List'!$B:$B,"NOT FOUND")</f>
        <v>Mission-Oriented Test Readiness Certification</v>
      </c>
      <c r="C349" s="22" t="s">
        <v>256</v>
      </c>
      <c r="D349" s="23">
        <f>_xlfn.XLOOKUP(A349,'Reference Master List'!$A:$A,'Reference Master List'!$D:$D,"NOT FOUND")</f>
        <v>44301</v>
      </c>
      <c r="E349" s="24" t="s">
        <v>44</v>
      </c>
      <c r="F349" s="24">
        <v>3.3</v>
      </c>
      <c r="G349" s="33" t="str">
        <f>_xlfn.XLOOKUP(A349,'Reference Master List'!$A:$A,'Reference Master List'!$E:$E,"NOT FOUND")</f>
        <v>https://static.e-publishing.af.mil/production/1/saf_aq/publication/dafman63-119/dafman63-119.pdf</v>
      </c>
    </row>
    <row r="350" spans="1:7" s="2" customFormat="1" ht="30" hidden="1" x14ac:dyDescent="0.25">
      <c r="A350" s="32" t="s">
        <v>24</v>
      </c>
      <c r="B350" s="21" t="str">
        <f>_xlfn.XLOOKUP(A350,'Reference Master List'!$A:$A,'Reference Master List'!$B:$B,"NOT FOUND")</f>
        <v>Mission-Oriented Test Readiness Certification</v>
      </c>
      <c r="C350" s="22" t="s">
        <v>257</v>
      </c>
      <c r="D350" s="23">
        <f>_xlfn.XLOOKUP(A350,'Reference Master List'!$A:$A,'Reference Master List'!$D:$D,"NOT FOUND")</f>
        <v>44301</v>
      </c>
      <c r="E350" s="24" t="s">
        <v>44</v>
      </c>
      <c r="F350" s="24">
        <v>3.3</v>
      </c>
      <c r="G350" s="33" t="str">
        <f>_xlfn.XLOOKUP(A350,'Reference Master List'!$A:$A,'Reference Master List'!$E:$E,"NOT FOUND")</f>
        <v>https://static.e-publishing.af.mil/production/1/saf_aq/publication/dafman63-119/dafman63-119.pdf</v>
      </c>
    </row>
    <row r="351" spans="1:7" s="2" customFormat="1" ht="30" hidden="1" x14ac:dyDescent="0.25">
      <c r="A351" s="32" t="s">
        <v>24</v>
      </c>
      <c r="B351" s="21" t="str">
        <f>_xlfn.XLOOKUP(A351,'Reference Master List'!$A:$A,'Reference Master List'!$B:$B,"NOT FOUND")</f>
        <v>Mission-Oriented Test Readiness Certification</v>
      </c>
      <c r="C351" s="22" t="s">
        <v>258</v>
      </c>
      <c r="D351" s="23">
        <f>_xlfn.XLOOKUP(A351,'Reference Master List'!$A:$A,'Reference Master List'!$D:$D,"NOT FOUND")</f>
        <v>44301</v>
      </c>
      <c r="E351" s="24" t="s">
        <v>44</v>
      </c>
      <c r="F351" s="24">
        <v>3.3</v>
      </c>
      <c r="G351" s="33" t="str">
        <f>_xlfn.XLOOKUP(A351,'Reference Master List'!$A:$A,'Reference Master List'!$E:$E,"NOT FOUND")</f>
        <v>https://static.e-publishing.af.mil/production/1/saf_aq/publication/dafman63-119/dafman63-119.pdf</v>
      </c>
    </row>
    <row r="352" spans="1:7" s="2" customFormat="1" ht="30" hidden="1" x14ac:dyDescent="0.25">
      <c r="A352" s="32" t="s">
        <v>24</v>
      </c>
      <c r="B352" s="21" t="str">
        <f>_xlfn.XLOOKUP(A352,'Reference Master List'!$A:$A,'Reference Master List'!$B:$B,"NOT FOUND")</f>
        <v>Mission-Oriented Test Readiness Certification</v>
      </c>
      <c r="C352" s="22" t="s">
        <v>259</v>
      </c>
      <c r="D352" s="23">
        <f>_xlfn.XLOOKUP(A352,'Reference Master List'!$A:$A,'Reference Master List'!$D:$D,"NOT FOUND")</f>
        <v>44301</v>
      </c>
      <c r="E352" s="24" t="s">
        <v>44</v>
      </c>
      <c r="F352" s="24">
        <v>3.3</v>
      </c>
      <c r="G352" s="33" t="str">
        <f>_xlfn.XLOOKUP(A352,'Reference Master List'!$A:$A,'Reference Master List'!$E:$E,"NOT FOUND")</f>
        <v>https://static.e-publishing.af.mil/production/1/saf_aq/publication/dafman63-119/dafman63-119.pdf</v>
      </c>
    </row>
    <row r="353" spans="1:7" s="2" customFormat="1" ht="30" hidden="1" x14ac:dyDescent="0.25">
      <c r="A353" s="32" t="s">
        <v>24</v>
      </c>
      <c r="B353" s="21" t="str">
        <f>_xlfn.XLOOKUP(A353,'Reference Master List'!$A:$A,'Reference Master List'!$B:$B,"NOT FOUND")</f>
        <v>Mission-Oriented Test Readiness Certification</v>
      </c>
      <c r="C353" s="22" t="s">
        <v>260</v>
      </c>
      <c r="D353" s="23">
        <f>_xlfn.XLOOKUP(A353,'Reference Master List'!$A:$A,'Reference Master List'!$D:$D,"NOT FOUND")</f>
        <v>44301</v>
      </c>
      <c r="E353" s="24" t="s">
        <v>44</v>
      </c>
      <c r="F353" s="24">
        <v>3.3</v>
      </c>
      <c r="G353" s="33" t="str">
        <f>_xlfn.XLOOKUP(A353,'Reference Master List'!$A:$A,'Reference Master List'!$E:$E,"NOT FOUND")</f>
        <v>https://static.e-publishing.af.mil/production/1/saf_aq/publication/dafman63-119/dafman63-119.pdf</v>
      </c>
    </row>
    <row r="354" spans="1:7" ht="30" hidden="1" x14ac:dyDescent="0.25">
      <c r="A354" s="32" t="s">
        <v>24</v>
      </c>
      <c r="B354" s="21" t="str">
        <f>_xlfn.XLOOKUP(A354,'Reference Master List'!$A:$A,'Reference Master List'!$B:$B,"NOT FOUND")</f>
        <v>Mission-Oriented Test Readiness Certification</v>
      </c>
      <c r="C354" s="22" t="s">
        <v>261</v>
      </c>
      <c r="D354" s="23">
        <f>_xlfn.XLOOKUP(A354,'Reference Master List'!$A:$A,'Reference Master List'!$D:$D,"NOT FOUND")</f>
        <v>44301</v>
      </c>
      <c r="E354" s="24" t="s">
        <v>44</v>
      </c>
      <c r="F354" s="24">
        <v>3.3</v>
      </c>
      <c r="G354" s="33" t="str">
        <f>_xlfn.XLOOKUP(A354,'Reference Master List'!$A:$A,'Reference Master List'!$E:$E,"NOT FOUND")</f>
        <v>https://static.e-publishing.af.mil/production/1/saf_aq/publication/dafman63-119/dafman63-119.pdf</v>
      </c>
    </row>
    <row r="355" spans="1:7" ht="30" hidden="1" x14ac:dyDescent="0.25">
      <c r="A355" s="32" t="s">
        <v>24</v>
      </c>
      <c r="B355" s="21" t="str">
        <f>_xlfn.XLOOKUP(A355,'Reference Master List'!$A:$A,'Reference Master List'!$B:$B,"NOT FOUND")</f>
        <v>Mission-Oriented Test Readiness Certification</v>
      </c>
      <c r="C355" s="22" t="s">
        <v>262</v>
      </c>
      <c r="D355" s="23">
        <f>_xlfn.XLOOKUP(A355,'Reference Master List'!$A:$A,'Reference Master List'!$D:$D,"NOT FOUND")</f>
        <v>44301</v>
      </c>
      <c r="E355" s="24" t="s">
        <v>44</v>
      </c>
      <c r="F355" s="24">
        <v>3.3</v>
      </c>
      <c r="G355" s="33" t="str">
        <f>_xlfn.XLOOKUP(A355,'Reference Master List'!$A:$A,'Reference Master List'!$E:$E,"NOT FOUND")</f>
        <v>https://static.e-publishing.af.mil/production/1/saf_aq/publication/dafman63-119/dafman63-119.pdf</v>
      </c>
    </row>
    <row r="356" spans="1:7" ht="30" hidden="1" x14ac:dyDescent="0.25">
      <c r="A356" s="32" t="s">
        <v>24</v>
      </c>
      <c r="B356" s="21" t="str">
        <f>_xlfn.XLOOKUP(A356,'Reference Master List'!$A:$A,'Reference Master List'!$B:$B,"NOT FOUND")</f>
        <v>Mission-Oriented Test Readiness Certification</v>
      </c>
      <c r="C356" s="22" t="s">
        <v>263</v>
      </c>
      <c r="D356" s="23">
        <f>_xlfn.XLOOKUP(A356,'Reference Master List'!$A:$A,'Reference Master List'!$D:$D,"NOT FOUND")</f>
        <v>44301</v>
      </c>
      <c r="E356" s="24" t="s">
        <v>44</v>
      </c>
      <c r="F356" s="24">
        <v>3.3</v>
      </c>
      <c r="G356" s="33" t="str">
        <f>_xlfn.XLOOKUP(A356,'Reference Master List'!$A:$A,'Reference Master List'!$E:$E,"NOT FOUND")</f>
        <v>https://static.e-publishing.af.mil/production/1/saf_aq/publication/dafman63-119/dafman63-119.pdf</v>
      </c>
    </row>
    <row r="357" spans="1:7" ht="30" hidden="1" x14ac:dyDescent="0.25">
      <c r="A357" s="32" t="s">
        <v>24</v>
      </c>
      <c r="B357" s="21" t="str">
        <f>_xlfn.XLOOKUP(A357,'Reference Master List'!$A:$A,'Reference Master List'!$B:$B,"NOT FOUND")</f>
        <v>Mission-Oriented Test Readiness Certification</v>
      </c>
      <c r="C357" s="22" t="s">
        <v>264</v>
      </c>
      <c r="D357" s="23">
        <f>_xlfn.XLOOKUP(A357,'Reference Master List'!$A:$A,'Reference Master List'!$D:$D,"NOT FOUND")</f>
        <v>44301</v>
      </c>
      <c r="E357" s="24" t="s">
        <v>44</v>
      </c>
      <c r="F357" s="24">
        <v>3.3</v>
      </c>
      <c r="G357" s="33" t="str">
        <f>_xlfn.XLOOKUP(A357,'Reference Master List'!$A:$A,'Reference Master List'!$E:$E,"NOT FOUND")</f>
        <v>https://static.e-publishing.af.mil/production/1/saf_aq/publication/dafman63-119/dafman63-119.pdf</v>
      </c>
    </row>
    <row r="358" spans="1:7" ht="30" hidden="1" x14ac:dyDescent="0.25">
      <c r="A358" s="32" t="s">
        <v>14</v>
      </c>
      <c r="B358" s="21" t="str">
        <f>_xlfn.XLOOKUP(A358,'Reference Master List'!$A:$A,'Reference Master List'!$B:$B,"NOT FOUND")</f>
        <v>Configuration Management Guidance</v>
      </c>
      <c r="C358" s="22" t="s">
        <v>265</v>
      </c>
      <c r="D358" s="23">
        <f>_xlfn.XLOOKUP(A358,'Reference Master List'!$A:$A,'Reference Master List'!$D:$D,"NOT FOUND")</f>
        <v>45884</v>
      </c>
      <c r="E358" s="24" t="s">
        <v>44</v>
      </c>
      <c r="F358" s="24">
        <v>3.3</v>
      </c>
      <c r="G358" s="33" t="str">
        <f>_xlfn.XLOOKUP(A358,'Reference Master List'!$A:$A,'Reference Master List'!$E:$E,"NOT FOUND")</f>
        <v>https://quicksearch.dla.mil/Transient/4D9CE4ACB1B74FFC874DE57D349F3740.pdf</v>
      </c>
    </row>
    <row r="359" spans="1:7" ht="30" hidden="1" x14ac:dyDescent="0.25">
      <c r="A359" s="32" t="s">
        <v>14</v>
      </c>
      <c r="B359" s="21" t="str">
        <f>_xlfn.XLOOKUP(A359,'Reference Master List'!$A:$A,'Reference Master List'!$B:$B,"NOT FOUND")</f>
        <v>Configuration Management Guidance</v>
      </c>
      <c r="C359" s="22">
        <v>5</v>
      </c>
      <c r="D359" s="23">
        <f>_xlfn.XLOOKUP(A359,'Reference Master List'!$A:$A,'Reference Master List'!$D:$D,"NOT FOUND")</f>
        <v>45884</v>
      </c>
      <c r="E359" s="24" t="s">
        <v>44</v>
      </c>
      <c r="F359" s="24">
        <v>3.3</v>
      </c>
      <c r="G359" s="33" t="str">
        <f>_xlfn.XLOOKUP(A359,'Reference Master List'!$A:$A,'Reference Master List'!$E:$E,"NOT FOUND")</f>
        <v>https://quicksearch.dla.mil/Transient/4D9CE4ACB1B74FFC874DE57D349F3740.pdf</v>
      </c>
    </row>
    <row r="360" spans="1:7" ht="30" hidden="1" x14ac:dyDescent="0.25">
      <c r="A360" s="32" t="s">
        <v>24</v>
      </c>
      <c r="B360" s="21" t="str">
        <f>_xlfn.XLOOKUP(A360,'Reference Master List'!$A:$A,'Reference Master List'!$B:$B,"NOT FOUND")</f>
        <v>Mission-Oriented Test Readiness Certification</v>
      </c>
      <c r="C360" s="22" t="s">
        <v>262</v>
      </c>
      <c r="D360" s="23">
        <f>_xlfn.XLOOKUP(A360,'Reference Master List'!$A:$A,'Reference Master List'!$D:$D,"NOT FOUND")</f>
        <v>44301</v>
      </c>
      <c r="E360" s="24" t="s">
        <v>44</v>
      </c>
      <c r="F360" s="24">
        <v>3.3</v>
      </c>
      <c r="G360" s="33" t="str">
        <f>_xlfn.XLOOKUP(A360,'Reference Master List'!$A:$A,'Reference Master List'!$E:$E,"NOT FOUND")</f>
        <v>https://static.e-publishing.af.mil/production/1/saf_aq/publication/dafman63-119/dafman63-119.pdf</v>
      </c>
    </row>
    <row r="361" spans="1:7" ht="30" hidden="1" x14ac:dyDescent="0.25">
      <c r="A361" s="32" t="s">
        <v>18</v>
      </c>
      <c r="B361" s="21" t="str">
        <f>_xlfn.XLOOKUP(A361,'Reference Master List'!$A:$A,'Reference Master List'!$B:$B,"NOT FOUND")</f>
        <v>Operation of the Software Acquisition Pathway</v>
      </c>
      <c r="C361" s="22">
        <v>3</v>
      </c>
      <c r="D361" s="23">
        <f>_xlfn.XLOOKUP(A361,'Reference Master List'!$A:$A,'Reference Master List'!$D:$D,"NOT FOUND")</f>
        <v>44106</v>
      </c>
      <c r="E361" s="24" t="s">
        <v>44</v>
      </c>
      <c r="F361" s="24">
        <v>3.3</v>
      </c>
      <c r="G361" s="33" t="str">
        <f>_xlfn.XLOOKUP(A361,'Reference Master List'!$A:$A,'Reference Master List'!$E:$E,"NOT FOUND")</f>
        <v>https://www.esd.whs.mil/Portals/54/Documents/DD/issuances/dodi/500087p.PDF?ver=virAfQj4v_LgN1JxpB_dpA%3d%3d</v>
      </c>
    </row>
    <row r="362" spans="1:7" ht="30" hidden="1" x14ac:dyDescent="0.25">
      <c r="A362" s="32" t="s">
        <v>21</v>
      </c>
      <c r="B362" s="21" t="str">
        <f>_xlfn.XLOOKUP(A362,'Reference Master List'!$A:$A,'Reference Master List'!$B:$B,"NOT FOUND")</f>
        <v>Operation of the Software Acquisition Pathway</v>
      </c>
      <c r="C362" s="22">
        <v>3</v>
      </c>
      <c r="D362" s="23">
        <f>_xlfn.XLOOKUP(A362,'Reference Master List'!$A:$A,'Reference Master List'!$D:$D,"NOT FOUND")</f>
        <v>44450</v>
      </c>
      <c r="E362" s="24" t="s">
        <v>44</v>
      </c>
      <c r="F362" s="24">
        <v>3.3</v>
      </c>
      <c r="G362" s="33" t="str">
        <f>_xlfn.XLOOKUP(A362,'Reference Master List'!$A:$A,'Reference Master List'!$E:$E,"NOT FOUND")</f>
        <v>https://static.e-publishing.af.mil/production/1/saf_aq/publication/dodi5000.87_dafi63-150/dodi5000.87_afi63-150.pdf</v>
      </c>
    </row>
    <row r="363" spans="1:7" ht="45" hidden="1" x14ac:dyDescent="0.25">
      <c r="A363" s="32" t="s">
        <v>38</v>
      </c>
      <c r="B363" s="21" t="str">
        <f>_xlfn.XLOOKUP(A363,'Reference Master List'!$A:$A,'Reference Master List'!$B:$B,"NOT FOUND")</f>
        <v>DoD Modeling and Simulation Verification, Validation, and Accreditation</v>
      </c>
      <c r="C363" s="22">
        <v>3.2</v>
      </c>
      <c r="D363" s="23">
        <f>_xlfn.XLOOKUP(A363,'Reference Master List'!$A:$A,'Reference Master List'!$D:$D,"NOT FOUND")</f>
        <v>45552</v>
      </c>
      <c r="E363" s="24" t="s">
        <v>44</v>
      </c>
      <c r="F363" s="24">
        <v>3.1</v>
      </c>
      <c r="G363" s="33" t="str">
        <f>_xlfn.XLOOKUP(A363,'Reference Master List'!$A:$A,'Reference Master List'!$E:$E,"NOT FOUND")</f>
        <v>https://www.esd.whs.mil/Portals/54/Documents/DD/issuances/dodi/500061p.pdf?ver=jRGu271k46n5T9NPRwT-sQ%3d%3d</v>
      </c>
    </row>
    <row r="364" spans="1:7" ht="30" hidden="1" x14ac:dyDescent="0.25">
      <c r="A364" s="32" t="s">
        <v>24</v>
      </c>
      <c r="B364" s="21" t="str">
        <f>_xlfn.XLOOKUP(A364,'Reference Master List'!$A:$A,'Reference Master List'!$B:$B,"NOT FOUND")</f>
        <v>Mission-Oriented Test Readiness Certification</v>
      </c>
      <c r="C364" s="22" t="s">
        <v>266</v>
      </c>
      <c r="D364" s="23">
        <f>_xlfn.XLOOKUP(A364,'Reference Master List'!$A:$A,'Reference Master List'!$D:$D,"NOT FOUND")</f>
        <v>44301</v>
      </c>
      <c r="E364" s="24" t="s">
        <v>44</v>
      </c>
      <c r="F364" s="24" t="s">
        <v>56</v>
      </c>
      <c r="G364" s="33" t="str">
        <f>_xlfn.XLOOKUP(A364,'Reference Master List'!$A:$A,'Reference Master List'!$E:$E,"NOT FOUND")</f>
        <v>https://static.e-publishing.af.mil/production/1/saf_aq/publication/dafman63-119/dafman63-119.pdf</v>
      </c>
    </row>
    <row r="365" spans="1:7" ht="30" hidden="1" x14ac:dyDescent="0.25">
      <c r="A365" s="32" t="s">
        <v>24</v>
      </c>
      <c r="B365" s="21" t="str">
        <f>_xlfn.XLOOKUP(A365,'Reference Master List'!$A:$A,'Reference Master List'!$B:$B,"NOT FOUND")</f>
        <v>Mission-Oriented Test Readiness Certification</v>
      </c>
      <c r="C365" s="22" t="s">
        <v>267</v>
      </c>
      <c r="D365" s="23">
        <f>_xlfn.XLOOKUP(A365,'Reference Master List'!$A:$A,'Reference Master List'!$D:$D,"NOT FOUND")</f>
        <v>44301</v>
      </c>
      <c r="E365" s="24" t="s">
        <v>44</v>
      </c>
      <c r="F365" s="24" t="s">
        <v>56</v>
      </c>
      <c r="G365" s="33" t="str">
        <f>_xlfn.XLOOKUP(A365,'Reference Master List'!$A:$A,'Reference Master List'!$E:$E,"NOT FOUND")</f>
        <v>https://static.e-publishing.af.mil/production/1/saf_aq/publication/dafman63-119/dafman63-119.pdf</v>
      </c>
    </row>
    <row r="366" spans="1:7" hidden="1" x14ac:dyDescent="0.25">
      <c r="A366" s="32" t="s">
        <v>17</v>
      </c>
      <c r="B366" s="21" t="str">
        <f>_xlfn.XLOOKUP(A366,'Reference Master List'!$A:$A,'Reference Master List'!$B:$B,"NOT FOUND")</f>
        <v>Test and Evaluation</v>
      </c>
      <c r="C366" s="22" t="s">
        <v>268</v>
      </c>
      <c r="D366" s="23">
        <f>_xlfn.XLOOKUP(A366,'Reference Master List'!$A:$A,'Reference Master List'!$D:$D,"NOT FOUND")</f>
        <v>44154</v>
      </c>
      <c r="E366" s="24" t="s">
        <v>44</v>
      </c>
      <c r="F366" s="24" t="s">
        <v>58</v>
      </c>
      <c r="G366" s="33" t="str">
        <f>_xlfn.XLOOKUP(A366,'Reference Master List'!$A:$A,'Reference Master List'!$E:$E,"NOT FOUND")</f>
        <v>https://www.esd.whs.mil/Portals/54/Documents/DD/issuances/dodi/500089p.PDF?ver=Plc85E0-NVNide91K3XQLA%3d%3d</v>
      </c>
    </row>
    <row r="367" spans="1:7" hidden="1" x14ac:dyDescent="0.25">
      <c r="A367" s="32" t="s">
        <v>20</v>
      </c>
      <c r="B367" s="21" t="str">
        <f>_xlfn.XLOOKUP(A367,'Reference Master List'!$A:$A,'Reference Master List'!$B:$B,"NOT FOUND")</f>
        <v>Test and Evaluation</v>
      </c>
      <c r="C367" s="22" t="s">
        <v>268</v>
      </c>
      <c r="D367" s="23">
        <f>_xlfn.XLOOKUP(A367,'Reference Master List'!$A:$A,'Reference Master List'!$D:$D,"NOT FOUND")</f>
        <v>46168</v>
      </c>
      <c r="E367" s="24" t="s">
        <v>44</v>
      </c>
      <c r="F367" s="24" t="s">
        <v>58</v>
      </c>
      <c r="G367" s="33" t="str">
        <f>_xlfn.XLOOKUP(A367,'Reference Master List'!$A:$A,'Reference Master List'!$E:$E,"NOT FOUND")</f>
        <v>https://static.e-publishing.af.mil/production/1/af_te/publication/dodi5000.89_dafi99-103/dodi5000.89_dafi99-103.pdf</v>
      </c>
    </row>
    <row r="368" spans="1:7" hidden="1" x14ac:dyDescent="0.25">
      <c r="A368" s="34" t="s">
        <v>372</v>
      </c>
      <c r="B368" s="21" t="str">
        <f>_xlfn.XLOOKUP(A368,'Reference Master List'!$A:$A,'Reference Master List'!$B:$B,"NOT FOUND")</f>
        <v>Test and Evaluation</v>
      </c>
      <c r="C368" s="22">
        <v>2</v>
      </c>
      <c r="D368" s="23">
        <f>_xlfn.XLOOKUP(A368,'Reference Master List'!$A:$A,'Reference Master List'!$D:$D,"NOT FOUND")</f>
        <v>46184</v>
      </c>
      <c r="E368" s="24" t="s">
        <v>44</v>
      </c>
      <c r="F368" s="24" t="s">
        <v>58</v>
      </c>
      <c r="G368" s="33" t="str">
        <f>_xlfn.XLOOKUP(A368,'Reference Master List'!$A:$A,'Reference Master List'!$E:$E,"NOT FOUND")</f>
        <v>https://static.e-publishing.af.mil/production/1/acc/publication/acci99-101/acci99-101.pdf</v>
      </c>
    </row>
    <row r="369" spans="1:7" hidden="1" x14ac:dyDescent="0.25">
      <c r="A369" s="32" t="s">
        <v>17</v>
      </c>
      <c r="B369" s="21" t="str">
        <f>_xlfn.XLOOKUP(A369,'Reference Master List'!$A:$A,'Reference Master List'!$B:$B,"NOT FOUND")</f>
        <v>Test and Evaluation</v>
      </c>
      <c r="C369" s="22" t="s">
        <v>269</v>
      </c>
      <c r="D369" s="23">
        <f>_xlfn.XLOOKUP(A369,'Reference Master List'!$A:$A,'Reference Master List'!$D:$D,"NOT FOUND")</f>
        <v>44154</v>
      </c>
      <c r="E369" s="24" t="s">
        <v>44</v>
      </c>
      <c r="F369" s="24" t="s">
        <v>59</v>
      </c>
      <c r="G369" s="33" t="str">
        <f>_xlfn.XLOOKUP(A369,'Reference Master List'!$A:$A,'Reference Master List'!$E:$E,"NOT FOUND")</f>
        <v>https://www.esd.whs.mil/Portals/54/Documents/DD/issuances/dodi/500089p.PDF?ver=Plc85E0-NVNide91K3XQLA%3d%3d</v>
      </c>
    </row>
    <row r="370" spans="1:7" hidden="1" x14ac:dyDescent="0.25">
      <c r="A370" s="32" t="s">
        <v>20</v>
      </c>
      <c r="B370" s="21" t="str">
        <f>_xlfn.XLOOKUP(A370,'Reference Master List'!$A:$A,'Reference Master List'!$B:$B,"NOT FOUND")</f>
        <v>Test and Evaluation</v>
      </c>
      <c r="C370" s="22" t="s">
        <v>269</v>
      </c>
      <c r="D370" s="23">
        <f>_xlfn.XLOOKUP(A370,'Reference Master List'!$A:$A,'Reference Master List'!$D:$D,"NOT FOUND")</f>
        <v>46168</v>
      </c>
      <c r="E370" s="24" t="s">
        <v>44</v>
      </c>
      <c r="F370" s="24" t="s">
        <v>59</v>
      </c>
      <c r="G370" s="33" t="str">
        <f>_xlfn.XLOOKUP(A370,'Reference Master List'!$A:$A,'Reference Master List'!$E:$E,"NOT FOUND")</f>
        <v>https://static.e-publishing.af.mil/production/1/af_te/publication/dodi5000.89_dafi99-103/dodi5000.89_dafi99-103.pdf</v>
      </c>
    </row>
    <row r="371" spans="1:7" hidden="1" x14ac:dyDescent="0.25">
      <c r="A371" s="34" t="s">
        <v>372</v>
      </c>
      <c r="B371" s="21" t="str">
        <f>_xlfn.XLOOKUP(A371,'Reference Master List'!$A:$A,'Reference Master List'!$B:$B,"NOT FOUND")</f>
        <v>Test and Evaluation</v>
      </c>
      <c r="C371" s="22" t="s">
        <v>270</v>
      </c>
      <c r="D371" s="23">
        <f>_xlfn.XLOOKUP(A371,'Reference Master List'!$A:$A,'Reference Master List'!$D:$D,"NOT FOUND")</f>
        <v>46184</v>
      </c>
      <c r="E371" s="24" t="s">
        <v>44</v>
      </c>
      <c r="F371" s="24" t="s">
        <v>271</v>
      </c>
      <c r="G371" s="33" t="str">
        <f>_xlfn.XLOOKUP(A371,'Reference Master List'!$A:$A,'Reference Master List'!$E:$E,"NOT FOUND")</f>
        <v>https://static.e-publishing.af.mil/production/1/acc/publication/acci99-101/acci99-101.pdf</v>
      </c>
    </row>
    <row r="372" spans="1:7" ht="45" hidden="1" x14ac:dyDescent="0.25">
      <c r="A372" s="32" t="s">
        <v>9</v>
      </c>
      <c r="B372" s="21" t="str">
        <f>_xlfn.XLOOKUP(A372,'Reference Master List'!$A:$A,'Reference Master List'!$B:$B,"NOT FOUND")</f>
        <v>Technology and Program Protection to Maintain Technological Advantage</v>
      </c>
      <c r="C372" s="22" t="s">
        <v>165</v>
      </c>
      <c r="D372" s="23">
        <f>_xlfn.XLOOKUP(A372,'Reference Master List'!$A:$A,'Reference Master List'!$D:$D,"NOT FOUND")</f>
        <v>44337</v>
      </c>
      <c r="E372" s="24" t="s">
        <v>44</v>
      </c>
      <c r="F372" s="24" t="s">
        <v>272</v>
      </c>
      <c r="G372" s="33" t="str">
        <f>_xlfn.XLOOKUP(A372,'Reference Master List'!$A:$A,'Reference Master List'!$E:$E,"NOT FOUND")</f>
        <v>https://www.esd.whs.mil/Portals/54/Documents/DD/issuances/dodi/500083p.pdf?ver=fmz4Sx5tYVXnJZNKIoPoUQ%3d%3d</v>
      </c>
    </row>
    <row r="373" spans="1:7" hidden="1" x14ac:dyDescent="0.25">
      <c r="A373" s="32" t="s">
        <v>17</v>
      </c>
      <c r="B373" s="21" t="str">
        <f>_xlfn.XLOOKUP(A373,'Reference Master List'!$A:$A,'Reference Master List'!$B:$B,"NOT FOUND")</f>
        <v>Test and Evaluation</v>
      </c>
      <c r="C373" s="22" t="s">
        <v>273</v>
      </c>
      <c r="D373" s="23">
        <f>_xlfn.XLOOKUP(A373,'Reference Master List'!$A:$A,'Reference Master List'!$D:$D,"NOT FOUND")</f>
        <v>44154</v>
      </c>
      <c r="E373" s="24" t="s">
        <v>44</v>
      </c>
      <c r="F373" s="24" t="s">
        <v>60</v>
      </c>
      <c r="G373" s="33" t="str">
        <f>_xlfn.XLOOKUP(A373,'Reference Master List'!$A:$A,'Reference Master List'!$E:$E,"NOT FOUND")</f>
        <v>https://www.esd.whs.mil/Portals/54/Documents/DD/issuances/dodi/500089p.PDF?ver=Plc85E0-NVNide91K3XQLA%3d%3d</v>
      </c>
    </row>
    <row r="374" spans="1:7" hidden="1" x14ac:dyDescent="0.25">
      <c r="A374" s="32" t="s">
        <v>20</v>
      </c>
      <c r="B374" s="21" t="str">
        <f>_xlfn.XLOOKUP(A374,'Reference Master List'!$A:$A,'Reference Master List'!$B:$B,"NOT FOUND")</f>
        <v>Test and Evaluation</v>
      </c>
      <c r="C374" s="22" t="s">
        <v>273</v>
      </c>
      <c r="D374" s="23">
        <f>_xlfn.XLOOKUP(A374,'Reference Master List'!$A:$A,'Reference Master List'!$D:$D,"NOT FOUND")</f>
        <v>46168</v>
      </c>
      <c r="E374" s="24" t="s">
        <v>44</v>
      </c>
      <c r="F374" s="24" t="s">
        <v>60</v>
      </c>
      <c r="G374" s="33" t="str">
        <f>_xlfn.XLOOKUP(A374,'Reference Master List'!$A:$A,'Reference Master List'!$E:$E,"NOT FOUND")</f>
        <v>https://static.e-publishing.af.mil/production/1/af_te/publication/dodi5000.89_dafi99-103/dodi5000.89_dafi99-103.pdf</v>
      </c>
    </row>
    <row r="375" spans="1:7" ht="30" hidden="1" x14ac:dyDescent="0.25">
      <c r="A375" s="32" t="s">
        <v>24</v>
      </c>
      <c r="B375" s="21" t="str">
        <f>_xlfn.XLOOKUP(A375,'Reference Master List'!$A:$A,'Reference Master List'!$B:$B,"NOT FOUND")</f>
        <v>Mission-Oriented Test Readiness Certification</v>
      </c>
      <c r="C375" s="22" t="s">
        <v>274</v>
      </c>
      <c r="D375" s="23">
        <f>_xlfn.XLOOKUP(A375,'Reference Master List'!$A:$A,'Reference Master List'!$D:$D,"NOT FOUND")</f>
        <v>44301</v>
      </c>
      <c r="E375" s="24" t="s">
        <v>44</v>
      </c>
      <c r="F375" s="24" t="s">
        <v>60</v>
      </c>
      <c r="G375" s="33" t="str">
        <f>_xlfn.XLOOKUP(A375,'Reference Master List'!$A:$A,'Reference Master List'!$E:$E,"NOT FOUND")</f>
        <v>https://static.e-publishing.af.mil/production/1/saf_aq/publication/dafman63-119/dafman63-119.pdf</v>
      </c>
    </row>
    <row r="376" spans="1:7" ht="30" hidden="1" x14ac:dyDescent="0.25">
      <c r="A376" s="32" t="s">
        <v>24</v>
      </c>
      <c r="B376" s="21" t="str">
        <f>_xlfn.XLOOKUP(A376,'Reference Master List'!$A:$A,'Reference Master List'!$B:$B,"NOT FOUND")</f>
        <v>Mission-Oriented Test Readiness Certification</v>
      </c>
      <c r="C376" s="22" t="s">
        <v>275</v>
      </c>
      <c r="D376" s="23">
        <f>_xlfn.XLOOKUP(A376,'Reference Master List'!$A:$A,'Reference Master List'!$D:$D,"NOT FOUND")</f>
        <v>44301</v>
      </c>
      <c r="E376" s="24" t="s">
        <v>44</v>
      </c>
      <c r="F376" s="24" t="s">
        <v>60</v>
      </c>
      <c r="G376" s="33" t="str">
        <f>_xlfn.XLOOKUP(A376,'Reference Master List'!$A:$A,'Reference Master List'!$E:$E,"NOT FOUND")</f>
        <v>https://static.e-publishing.af.mil/production/1/saf_aq/publication/dafman63-119/dafman63-119.pdf</v>
      </c>
    </row>
    <row r="377" spans="1:7" ht="30" hidden="1" x14ac:dyDescent="0.25">
      <c r="A377" s="32" t="s">
        <v>24</v>
      </c>
      <c r="B377" s="21" t="str">
        <f>_xlfn.XLOOKUP(A377,'Reference Master List'!$A:$A,'Reference Master List'!$B:$B,"NOT FOUND")</f>
        <v>Mission-Oriented Test Readiness Certification</v>
      </c>
      <c r="C377" s="22" t="s">
        <v>276</v>
      </c>
      <c r="D377" s="23">
        <f>_xlfn.XLOOKUP(A377,'Reference Master List'!$A:$A,'Reference Master List'!$D:$D,"NOT FOUND")</f>
        <v>44301</v>
      </c>
      <c r="E377" s="24" t="s">
        <v>44</v>
      </c>
      <c r="F377" s="24" t="s">
        <v>60</v>
      </c>
      <c r="G377" s="33" t="str">
        <f>_xlfn.XLOOKUP(A377,'Reference Master List'!$A:$A,'Reference Master List'!$E:$E,"NOT FOUND")</f>
        <v>https://static.e-publishing.af.mil/production/1/saf_aq/publication/dafman63-119/dafman63-119.pdf</v>
      </c>
    </row>
    <row r="378" spans="1:7" hidden="1" x14ac:dyDescent="0.25">
      <c r="A378" s="32" t="s">
        <v>17</v>
      </c>
      <c r="B378" s="21" t="str">
        <f>_xlfn.XLOOKUP(A378,'Reference Master List'!$A:$A,'Reference Master List'!$B:$B,"NOT FOUND")</f>
        <v>Test and Evaluation</v>
      </c>
      <c r="C378" s="22" t="s">
        <v>277</v>
      </c>
      <c r="D378" s="23">
        <f>_xlfn.XLOOKUP(A378,'Reference Master List'!$A:$A,'Reference Master List'!$D:$D,"NOT FOUND")</f>
        <v>44154</v>
      </c>
      <c r="E378" s="24" t="s">
        <v>44</v>
      </c>
      <c r="F378" s="24" t="s">
        <v>62</v>
      </c>
      <c r="G378" s="33" t="str">
        <f>_xlfn.XLOOKUP(A378,'Reference Master List'!$A:$A,'Reference Master List'!$E:$E,"NOT FOUND")</f>
        <v>https://www.esd.whs.mil/Portals/54/Documents/DD/issuances/dodi/500089p.PDF?ver=Plc85E0-NVNide91K3XQLA%3d%3d</v>
      </c>
    </row>
    <row r="379" spans="1:7" hidden="1" x14ac:dyDescent="0.25">
      <c r="A379" s="32" t="s">
        <v>17</v>
      </c>
      <c r="B379" s="21" t="str">
        <f>_xlfn.XLOOKUP(A379,'Reference Master List'!$A:$A,'Reference Master List'!$B:$B,"NOT FOUND")</f>
        <v>Test and Evaluation</v>
      </c>
      <c r="C379" s="22">
        <v>3.12</v>
      </c>
      <c r="D379" s="23">
        <f>_xlfn.XLOOKUP(A379,'Reference Master List'!$A:$A,'Reference Master List'!$D:$D,"NOT FOUND")</f>
        <v>44154</v>
      </c>
      <c r="E379" s="24" t="s">
        <v>44</v>
      </c>
      <c r="F379" s="24" t="s">
        <v>62</v>
      </c>
      <c r="G379" s="33" t="str">
        <f>_xlfn.XLOOKUP(A379,'Reference Master List'!$A:$A,'Reference Master List'!$E:$E,"NOT FOUND")</f>
        <v>https://www.esd.whs.mil/Portals/54/Documents/DD/issuances/dodi/500089p.PDF?ver=Plc85E0-NVNide91K3XQLA%3d%3d</v>
      </c>
    </row>
    <row r="380" spans="1:7" hidden="1" x14ac:dyDescent="0.25">
      <c r="A380" s="32" t="s">
        <v>20</v>
      </c>
      <c r="B380" s="21" t="str">
        <f>_xlfn.XLOOKUP(A380,'Reference Master List'!$A:$A,'Reference Master List'!$B:$B,"NOT FOUND")</f>
        <v>Test and Evaluation</v>
      </c>
      <c r="C380" s="22" t="s">
        <v>277</v>
      </c>
      <c r="D380" s="23">
        <f>_xlfn.XLOOKUP(A380,'Reference Master List'!$A:$A,'Reference Master List'!$D:$D,"NOT FOUND")</f>
        <v>46168</v>
      </c>
      <c r="E380" s="24" t="s">
        <v>44</v>
      </c>
      <c r="F380" s="24" t="s">
        <v>62</v>
      </c>
      <c r="G380" s="33" t="str">
        <f>_xlfn.XLOOKUP(A380,'Reference Master List'!$A:$A,'Reference Master List'!$E:$E,"NOT FOUND")</f>
        <v>https://static.e-publishing.af.mil/production/1/af_te/publication/dodi5000.89_dafi99-103/dodi5000.89_dafi99-103.pdf</v>
      </c>
    </row>
    <row r="381" spans="1:7" hidden="1" x14ac:dyDescent="0.25">
      <c r="A381" s="32" t="s">
        <v>20</v>
      </c>
      <c r="B381" s="21" t="str">
        <f>_xlfn.XLOOKUP(A381,'Reference Master List'!$A:$A,'Reference Master List'!$B:$B,"NOT FOUND")</f>
        <v>Test and Evaluation</v>
      </c>
      <c r="C381" s="22">
        <v>3.12</v>
      </c>
      <c r="D381" s="23">
        <f>_xlfn.XLOOKUP(A381,'Reference Master List'!$A:$A,'Reference Master List'!$D:$D,"NOT FOUND")</f>
        <v>46168</v>
      </c>
      <c r="E381" s="24" t="s">
        <v>44</v>
      </c>
      <c r="F381" s="24" t="s">
        <v>62</v>
      </c>
      <c r="G381" s="33" t="str">
        <f>_xlfn.XLOOKUP(A381,'Reference Master List'!$A:$A,'Reference Master List'!$E:$E,"NOT FOUND")</f>
        <v>https://static.e-publishing.af.mil/production/1/af_te/publication/dodi5000.89_dafi99-103/dodi5000.89_dafi99-103.pdf</v>
      </c>
    </row>
    <row r="382" spans="1:7" hidden="1" x14ac:dyDescent="0.25">
      <c r="A382" s="37" t="s">
        <v>26</v>
      </c>
      <c r="B382" s="21" t="str">
        <f>_xlfn.XLOOKUP(A382,'Reference Master List'!$A:$A,'Reference Master List'!$B:$B,"NOT FOUND")</f>
        <v>Cybersecurity</v>
      </c>
      <c r="C382" s="26">
        <v>2.2000000000000002</v>
      </c>
      <c r="D382" s="23">
        <f>_xlfn.XLOOKUP(A382,'Reference Master List'!$A:$A,'Reference Master List'!$D:$D,"NOT FOUND")</f>
        <v>43745</v>
      </c>
      <c r="E382" s="24" t="s">
        <v>55</v>
      </c>
      <c r="F382" s="27" t="s">
        <v>80</v>
      </c>
      <c r="G382" s="33" t="str">
        <f>_xlfn.XLOOKUP(A382,'Reference Master List'!$A:$A,'Reference Master List'!$E:$E,"NOT FOUND")</f>
        <v>https://www.esd.whs.mil/Portals/54/Documents/DD/issuances/dodi/850001_2014.pdf?ver=2019-10-07-112048-860</v>
      </c>
    </row>
    <row r="383" spans="1:7" hidden="1" x14ac:dyDescent="0.25">
      <c r="A383" s="34" t="s">
        <v>4</v>
      </c>
      <c r="B383" s="21" t="str">
        <f>_xlfn.XLOOKUP(A383,'Reference Master List'!$A:$A,'Reference Master List'!$B:$B,"NOT FOUND")</f>
        <v>Engineering of Defense Systems</v>
      </c>
      <c r="C383" s="26">
        <v>2.2999999999999998</v>
      </c>
      <c r="D383" s="23">
        <f>_xlfn.XLOOKUP(A383,'Reference Master List'!$A:$A,'Reference Master List'!$D:$D,"NOT FOUND")</f>
        <v>44153</v>
      </c>
      <c r="E383" s="24" t="s">
        <v>55</v>
      </c>
      <c r="F383" s="27" t="s">
        <v>80</v>
      </c>
      <c r="G383" s="33" t="str">
        <f>_xlfn.XLOOKUP(A383,'Reference Master List'!$A:$A,'Reference Master List'!$E:$E,"NOT FOUND")</f>
        <v>https://www.esd.whs.mil/Portals/54/Documents/DD/issuances/dodi/500088p.PDF?ver=O8LFc8NzlyJX-SgM2Haalw%3d%3d</v>
      </c>
    </row>
    <row r="384" spans="1:7" hidden="1" x14ac:dyDescent="0.25">
      <c r="A384" s="37" t="s">
        <v>19</v>
      </c>
      <c r="B384" s="21" t="str">
        <f>_xlfn.XLOOKUP(A384,'Reference Master List'!$A:$A,'Reference Master List'!$B:$B,"NOT FOUND")</f>
        <v>Major Capability Acquisition</v>
      </c>
      <c r="C384" s="26">
        <v>3</v>
      </c>
      <c r="D384" s="23">
        <f>_xlfn.XLOOKUP(A384,'Reference Master List'!$A:$A,'Reference Master List'!$D:$D,"NOT FOUND")</f>
        <v>44049</v>
      </c>
      <c r="E384" s="24" t="s">
        <v>55</v>
      </c>
      <c r="F384" s="27" t="s">
        <v>80</v>
      </c>
      <c r="G384" s="33" t="str">
        <f>_xlfn.XLOOKUP(A384,'Reference Master List'!$A:$A,'Reference Master List'!$E:$E,"NOT FOUND")</f>
        <v>https://www.esd.whs.mil/Portals/54/Documents/DD/issuances/dodi/500085p.pdf?ver=RYqeB690-qd-txjFEAZ72A%3d%3d</v>
      </c>
    </row>
    <row r="385" spans="1:7" ht="30" hidden="1" x14ac:dyDescent="0.25">
      <c r="A385" s="37" t="s">
        <v>296</v>
      </c>
      <c r="B385" s="21" t="str">
        <f>_xlfn.XLOOKUP(A385,'Reference Master List'!$A:$A,'Reference Master List'!$B:$B,"NOT FOUND")</f>
        <v>Operation of the Adaptive Acquisition Framework</v>
      </c>
      <c r="C385" s="26">
        <v>3</v>
      </c>
      <c r="D385" s="23">
        <f>_xlfn.XLOOKUP(A385,'Reference Master List'!$A:$A,'Reference Master List'!$D:$D,"NOT FOUND")</f>
        <v>43853</v>
      </c>
      <c r="E385" s="24" t="s">
        <v>55</v>
      </c>
      <c r="F385" s="27" t="s">
        <v>80</v>
      </c>
      <c r="G385" s="33" t="str">
        <f>_xlfn.XLOOKUP(A385,'Reference Master List'!$A:$A,'Reference Master List'!$E:$E,"NOT FOUND")</f>
        <v>https://www.esd.whs.mil/Portals/54/Documents/DD/issuances/dodi/500002p.PDF?ver=dwMrujJ8qEhU9oageF1fTA%3d%3d</v>
      </c>
    </row>
    <row r="386" spans="1:7" hidden="1" x14ac:dyDescent="0.25">
      <c r="A386" s="37" t="s">
        <v>17</v>
      </c>
      <c r="B386" s="21" t="str">
        <f>_xlfn.XLOOKUP(A386,'Reference Master List'!$A:$A,'Reference Master List'!$B:$B,"NOT FOUND")</f>
        <v>Test and Evaluation</v>
      </c>
      <c r="C386" s="26">
        <v>3</v>
      </c>
      <c r="D386" s="23">
        <f>_xlfn.XLOOKUP(A386,'Reference Master List'!$A:$A,'Reference Master List'!$D:$D,"NOT FOUND")</f>
        <v>44154</v>
      </c>
      <c r="E386" s="24" t="s">
        <v>55</v>
      </c>
      <c r="F386" s="27" t="s">
        <v>80</v>
      </c>
      <c r="G386" s="33" t="str">
        <f>_xlfn.XLOOKUP(A386,'Reference Master List'!$A:$A,'Reference Master List'!$E:$E,"NOT FOUND")</f>
        <v>https://www.esd.whs.mil/Portals/54/Documents/DD/issuances/dodi/500089p.PDF?ver=Plc85E0-NVNide91K3XQLA%3d%3d</v>
      </c>
    </row>
    <row r="387" spans="1:7" ht="30" hidden="1" x14ac:dyDescent="0.25">
      <c r="A387" s="37" t="s">
        <v>75</v>
      </c>
      <c r="B387" s="21" t="str">
        <f>_xlfn.XLOOKUP(A387,'Reference Master List'!$A:$A,'Reference Master List'!$B:$B,"NOT FOUND")</f>
        <v>Defense for Research and Engineering</v>
      </c>
      <c r="C387" s="26">
        <v>3</v>
      </c>
      <c r="D387" s="23">
        <f>_xlfn.XLOOKUP(A387,'Reference Master List'!$A:$A,'Reference Master List'!$D:$D,"NOT FOUND")</f>
        <v>44490</v>
      </c>
      <c r="E387" s="24" t="s">
        <v>55</v>
      </c>
      <c r="F387" s="27" t="s">
        <v>80</v>
      </c>
      <c r="G387" s="33" t="str">
        <f>_xlfn.XLOOKUP(A387,'Reference Master List'!$A:$A,'Reference Master List'!$E:$E,"NOT FOUND")</f>
        <v>https://www.afacpo.com/AQDocs/System%20Engineering%20Plans.docx</v>
      </c>
    </row>
    <row r="388" spans="1:7" ht="30" hidden="1" x14ac:dyDescent="0.25">
      <c r="A388" s="37" t="s">
        <v>13</v>
      </c>
      <c r="B388" s="21" t="str">
        <f>_xlfn.XLOOKUP(A388,'Reference Master List'!$A:$A,'Reference Master List'!$B:$B,"NOT FOUND")</f>
        <v>Integrated Life Cycle Management</v>
      </c>
      <c r="C388" s="26">
        <v>3</v>
      </c>
      <c r="D388" s="23">
        <f>_xlfn.XLOOKUP(A388,'Reference Master List'!$A:$A,'Reference Master List'!$D:$D,"NOT FOUND")</f>
        <v>45953</v>
      </c>
      <c r="E388" s="24" t="s">
        <v>55</v>
      </c>
      <c r="F388" s="27" t="s">
        <v>80</v>
      </c>
      <c r="G388" s="33" t="str">
        <f>_xlfn.XLOOKUP(A388,'Reference Master List'!$A:$A,'Reference Master List'!$E:$E,"NOT FOUND")</f>
        <v>https://static.e-publishing.af.mil/production/1/saf_aq/publication/dafi63-101_20-101/dafi63-101_20-101.pdf</v>
      </c>
    </row>
    <row r="389" spans="1:7" hidden="1" x14ac:dyDescent="0.25">
      <c r="A389" s="37" t="s">
        <v>4</v>
      </c>
      <c r="B389" s="21" t="str">
        <f>_xlfn.XLOOKUP(A389,'Reference Master List'!$A:$A,'Reference Master List'!$B:$B,"NOT FOUND")</f>
        <v>Engineering of Defense Systems</v>
      </c>
      <c r="C389" s="26">
        <v>3</v>
      </c>
      <c r="D389" s="23">
        <f>_xlfn.XLOOKUP(A389,'Reference Master List'!$A:$A,'Reference Master List'!$D:$D,"NOT FOUND")</f>
        <v>44153</v>
      </c>
      <c r="E389" s="24" t="s">
        <v>55</v>
      </c>
      <c r="F389" s="27" t="s">
        <v>80</v>
      </c>
      <c r="G389" s="33" t="str">
        <f>_xlfn.XLOOKUP(A389,'Reference Master List'!$A:$A,'Reference Master List'!$E:$E,"NOT FOUND")</f>
        <v>https://www.esd.whs.mil/Portals/54/Documents/DD/issuances/dodi/500088p.PDF?ver=O8LFc8NzlyJX-SgM2Haalw%3d%3d</v>
      </c>
    </row>
    <row r="390" spans="1:7" hidden="1" x14ac:dyDescent="0.25">
      <c r="A390" s="37" t="s">
        <v>4</v>
      </c>
      <c r="B390" s="21" t="str">
        <f>_xlfn.XLOOKUP(A390,'Reference Master List'!$A:$A,'Reference Master List'!$B:$B,"NOT FOUND")</f>
        <v>Engineering of Defense Systems</v>
      </c>
      <c r="C390" s="26">
        <v>3.1</v>
      </c>
      <c r="D390" s="23">
        <f>_xlfn.XLOOKUP(A390,'Reference Master List'!$A:$A,'Reference Master List'!$D:$D,"NOT FOUND")</f>
        <v>44153</v>
      </c>
      <c r="E390" s="24" t="s">
        <v>55</v>
      </c>
      <c r="F390" s="27" t="s">
        <v>80</v>
      </c>
      <c r="G390" s="33" t="str">
        <f>_xlfn.XLOOKUP(A390,'Reference Master List'!$A:$A,'Reference Master List'!$E:$E,"NOT FOUND")</f>
        <v>https://www.esd.whs.mil/Portals/54/Documents/DD/issuances/dodi/500088p.PDF?ver=O8LFc8NzlyJX-SgM2Haalw%3d%3d</v>
      </c>
    </row>
    <row r="391" spans="1:7" hidden="1" x14ac:dyDescent="0.25">
      <c r="A391" s="37" t="s">
        <v>4</v>
      </c>
      <c r="B391" s="21" t="str">
        <f>_xlfn.XLOOKUP(A391,'Reference Master List'!$A:$A,'Reference Master List'!$B:$B,"NOT FOUND")</f>
        <v>Engineering of Defense Systems</v>
      </c>
      <c r="C391" s="26" t="s">
        <v>56</v>
      </c>
      <c r="D391" s="23">
        <f>_xlfn.XLOOKUP(A391,'Reference Master List'!$A:$A,'Reference Master List'!$D:$D,"NOT FOUND")</f>
        <v>44153</v>
      </c>
      <c r="E391" s="24" t="s">
        <v>55</v>
      </c>
      <c r="F391" s="27" t="s">
        <v>80</v>
      </c>
      <c r="G391" s="33" t="str">
        <f>_xlfn.XLOOKUP(A391,'Reference Master List'!$A:$A,'Reference Master List'!$E:$E,"NOT FOUND")</f>
        <v>https://www.esd.whs.mil/Portals/54/Documents/DD/issuances/dodi/500088p.PDF?ver=O8LFc8NzlyJX-SgM2Haalw%3d%3d</v>
      </c>
    </row>
    <row r="392" spans="1:7" hidden="1" x14ac:dyDescent="0.25">
      <c r="A392" s="37" t="s">
        <v>293</v>
      </c>
      <c r="B392" s="21" t="str">
        <f>_xlfn.XLOOKUP(A392,'Reference Master List'!$A:$A,'Reference Master List'!$B:$B,"NOT FOUND")</f>
        <v>Defense Standardization Program</v>
      </c>
      <c r="C392" s="26" t="s">
        <v>57</v>
      </c>
      <c r="D392" s="23">
        <f>_xlfn.XLOOKUP(A392,'Reference Master List'!$A:$A,'Reference Master List'!$D:$D,"NOT FOUND")</f>
        <v>44651</v>
      </c>
      <c r="E392" s="24" t="s">
        <v>55</v>
      </c>
      <c r="F392" s="27" t="s">
        <v>80</v>
      </c>
      <c r="G392" s="33" t="str">
        <f>_xlfn.XLOOKUP(A392,'Reference Master List'!$A:$A,'Reference Master List'!$E:$E,"NOT FOUND")</f>
        <v>https://www.esd.whs.mil/Portals/54/Documents/DD/issuances/dodi/412024p.pdf?ver=AXPUKcdZnh18wAAfx63Vnw%3d%3d</v>
      </c>
    </row>
    <row r="393" spans="1:7" hidden="1" x14ac:dyDescent="0.25">
      <c r="A393" s="37" t="s">
        <v>4</v>
      </c>
      <c r="B393" s="21" t="str">
        <f>_xlfn.XLOOKUP(A393,'Reference Master List'!$A:$A,'Reference Master List'!$B:$B,"NOT FOUND")</f>
        <v>Engineering of Defense Systems</v>
      </c>
      <c r="C393" s="26" t="s">
        <v>57</v>
      </c>
      <c r="D393" s="23">
        <f>_xlfn.XLOOKUP(A393,'Reference Master List'!$A:$A,'Reference Master List'!$D:$D,"NOT FOUND")</f>
        <v>44153</v>
      </c>
      <c r="E393" s="24" t="s">
        <v>55</v>
      </c>
      <c r="F393" s="27" t="s">
        <v>80</v>
      </c>
      <c r="G393" s="33" t="str">
        <f>_xlfn.XLOOKUP(A393,'Reference Master List'!$A:$A,'Reference Master List'!$E:$E,"NOT FOUND")</f>
        <v>https://www.esd.whs.mil/Portals/54/Documents/DD/issuances/dodi/500088p.PDF?ver=O8LFc8NzlyJX-SgM2Haalw%3d%3d</v>
      </c>
    </row>
    <row r="394" spans="1:7" ht="30" hidden="1" x14ac:dyDescent="0.25">
      <c r="A394" s="34" t="s">
        <v>397</v>
      </c>
      <c r="B394" s="21" t="str">
        <f>_xlfn.XLOOKUP(A394,'Reference Master List'!$A:$A,'Reference Master List'!$B:$B,"NOT FOUND")</f>
        <v>Cyber Operational Test and Evaluation Guidebook</v>
      </c>
      <c r="C394" s="26" t="s">
        <v>57</v>
      </c>
      <c r="D394" s="23">
        <f>_xlfn.XLOOKUP(A394,'Reference Master List'!$A:$A,'Reference Master List'!$D:$D,"NOT FOUND")</f>
        <v>45689</v>
      </c>
      <c r="E394" s="24" t="s">
        <v>55</v>
      </c>
      <c r="F394" s="27" t="s">
        <v>80</v>
      </c>
      <c r="G394" s="35" t="str">
        <f>_xlfn.XLOOKUP(A394,'Reference Master List'!$A:$A,'Reference Master List'!$E:$E,"NOT FOUND")</f>
        <v>https://www.dote.osd.mil/Portals/97/pub/guidebooks/2025/Cyber%20Operational%20Test%20and%20Evaluation%20Guidebook%2020250206%20w-cover%20memo%20(29625).pdf?ver=NIz6GX6cjZQjGtxAq4jo0w%3d%3d</v>
      </c>
    </row>
    <row r="395" spans="1:7" ht="30" hidden="1" x14ac:dyDescent="0.25">
      <c r="A395" s="37" t="s">
        <v>13</v>
      </c>
      <c r="B395" s="21" t="str">
        <f>_xlfn.XLOOKUP(A395,'Reference Master List'!$A:$A,'Reference Master List'!$B:$B,"NOT FOUND")</f>
        <v>Integrated Life Cycle Management</v>
      </c>
      <c r="C395" s="26">
        <v>3.2</v>
      </c>
      <c r="D395" s="23">
        <f>_xlfn.XLOOKUP(A395,'Reference Master List'!$A:$A,'Reference Master List'!$D:$D,"NOT FOUND")</f>
        <v>45953</v>
      </c>
      <c r="E395" s="24" t="s">
        <v>55</v>
      </c>
      <c r="F395" s="27" t="s">
        <v>80</v>
      </c>
      <c r="G395" s="33" t="str">
        <f>_xlfn.XLOOKUP(A395,'Reference Master List'!$A:$A,'Reference Master List'!$E:$E,"NOT FOUND")</f>
        <v>https://static.e-publishing.af.mil/production/1/saf_aq/publication/dafi63-101_20-101/dafi63-101_20-101.pdf</v>
      </c>
    </row>
    <row r="396" spans="1:7" hidden="1" x14ac:dyDescent="0.25">
      <c r="A396" s="37" t="s">
        <v>4</v>
      </c>
      <c r="B396" s="21" t="str">
        <f>_xlfn.XLOOKUP(A396,'Reference Master List'!$A:$A,'Reference Master List'!$B:$B,"NOT FOUND")</f>
        <v>Engineering of Defense Systems</v>
      </c>
      <c r="C396" s="26">
        <v>3.2</v>
      </c>
      <c r="D396" s="23">
        <f>_xlfn.XLOOKUP(A396,'Reference Master List'!$A:$A,'Reference Master List'!$D:$D,"NOT FOUND")</f>
        <v>44153</v>
      </c>
      <c r="E396" s="24" t="s">
        <v>55</v>
      </c>
      <c r="F396" s="27" t="s">
        <v>80</v>
      </c>
      <c r="G396" s="33" t="str">
        <f>_xlfn.XLOOKUP(A396,'Reference Master List'!$A:$A,'Reference Master List'!$E:$E,"NOT FOUND")</f>
        <v>https://www.esd.whs.mil/Portals/54/Documents/DD/issuances/dodi/500088p.PDF?ver=O8LFc8NzlyJX-SgM2Haalw%3d%3d</v>
      </c>
    </row>
    <row r="397" spans="1:7" ht="30" hidden="1" x14ac:dyDescent="0.25">
      <c r="A397" s="37" t="s">
        <v>75</v>
      </c>
      <c r="B397" s="21" t="str">
        <f>_xlfn.XLOOKUP(A397,'Reference Master List'!$A:$A,'Reference Master List'!$B:$B,"NOT FOUND")</f>
        <v>Defense for Research and Engineering</v>
      </c>
      <c r="C397" s="26" t="s">
        <v>60</v>
      </c>
      <c r="D397" s="23">
        <f>_xlfn.XLOOKUP(A397,'Reference Master List'!$A:$A,'Reference Master List'!$D:$D,"NOT FOUND")</f>
        <v>44490</v>
      </c>
      <c r="E397" s="24" t="s">
        <v>55</v>
      </c>
      <c r="F397" s="27" t="s">
        <v>80</v>
      </c>
      <c r="G397" s="33" t="str">
        <f>_xlfn.XLOOKUP(A397,'Reference Master List'!$A:$A,'Reference Master List'!$E:$E,"NOT FOUND")</f>
        <v>https://www.afacpo.com/AQDocs/System%20Engineering%20Plans.docx</v>
      </c>
    </row>
    <row r="398" spans="1:7" hidden="1" x14ac:dyDescent="0.25">
      <c r="A398" s="37" t="s">
        <v>4</v>
      </c>
      <c r="B398" s="21" t="str">
        <f>_xlfn.XLOOKUP(A398,'Reference Master List'!$A:$A,'Reference Master List'!$B:$B,"NOT FOUND")</f>
        <v>Engineering of Defense Systems</v>
      </c>
      <c r="C398" s="26" t="s">
        <v>60</v>
      </c>
      <c r="D398" s="23">
        <f>_xlfn.XLOOKUP(A398,'Reference Master List'!$A:$A,'Reference Master List'!$D:$D,"NOT FOUND")</f>
        <v>44153</v>
      </c>
      <c r="E398" s="24" t="s">
        <v>55</v>
      </c>
      <c r="F398" s="27" t="s">
        <v>80</v>
      </c>
      <c r="G398" s="33" t="str">
        <f>_xlfn.XLOOKUP(A398,'Reference Master List'!$A:$A,'Reference Master List'!$E:$E,"NOT FOUND")</f>
        <v>https://www.esd.whs.mil/Portals/54/Documents/DD/issuances/dodi/500088p.PDF?ver=O8LFc8NzlyJX-SgM2Haalw%3d%3d</v>
      </c>
    </row>
    <row r="399" spans="1:7" ht="30" hidden="1" x14ac:dyDescent="0.25">
      <c r="A399" s="37" t="s">
        <v>296</v>
      </c>
      <c r="B399" s="21" t="str">
        <f>_xlfn.XLOOKUP(A399,'Reference Master List'!$A:$A,'Reference Master List'!$B:$B,"NOT FOUND")</f>
        <v>Operation of the Adaptive Acquisition Framework</v>
      </c>
      <c r="C399" s="26" t="s">
        <v>60</v>
      </c>
      <c r="D399" s="23">
        <f>_xlfn.XLOOKUP(A399,'Reference Master List'!$A:$A,'Reference Master List'!$D:$D,"NOT FOUND")</f>
        <v>43853</v>
      </c>
      <c r="E399" s="24" t="s">
        <v>55</v>
      </c>
      <c r="F399" s="27" t="s">
        <v>80</v>
      </c>
      <c r="G399" s="33" t="str">
        <f>_xlfn.XLOOKUP(A399,'Reference Master List'!$A:$A,'Reference Master List'!$E:$E,"NOT FOUND")</f>
        <v>https://www.esd.whs.mil/Portals/54/Documents/DD/issuances/dodi/500002p.PDF?ver=dwMrujJ8qEhU9oageF1fTA%3d%3d</v>
      </c>
    </row>
    <row r="400" spans="1:7" hidden="1" x14ac:dyDescent="0.25">
      <c r="A400" s="37" t="s">
        <v>4</v>
      </c>
      <c r="B400" s="21" t="str">
        <f>_xlfn.XLOOKUP(A400,'Reference Master List'!$A:$A,'Reference Master List'!$B:$B,"NOT FOUND")</f>
        <v>Engineering of Defense Systems</v>
      </c>
      <c r="C400" s="26" t="s">
        <v>61</v>
      </c>
      <c r="D400" s="23">
        <f>_xlfn.XLOOKUP(A400,'Reference Master List'!$A:$A,'Reference Master List'!$D:$D,"NOT FOUND")</f>
        <v>44153</v>
      </c>
      <c r="E400" s="24" t="s">
        <v>55</v>
      </c>
      <c r="F400" s="27" t="s">
        <v>80</v>
      </c>
      <c r="G400" s="33" t="str">
        <f>_xlfn.XLOOKUP(A400,'Reference Master List'!$A:$A,'Reference Master List'!$E:$E,"NOT FOUND")</f>
        <v>https://www.esd.whs.mil/Portals/54/Documents/DD/issuances/dodi/500088p.PDF?ver=O8LFc8NzlyJX-SgM2Haalw%3d%3d</v>
      </c>
    </row>
    <row r="401" spans="1:7" ht="45" hidden="1" x14ac:dyDescent="0.25">
      <c r="A401" s="37" t="s">
        <v>295</v>
      </c>
      <c r="B401" s="21" t="str">
        <f>_xlfn.XLOOKUP(A401,'Reference Master List'!$A:$A,'Reference Master List'!$B:$B,"NOT FOUND")</f>
        <v>Policy and Procedures for Management and Use of the Electromagnetic Spectrum</v>
      </c>
      <c r="C401" s="26" t="s">
        <v>62</v>
      </c>
      <c r="D401" s="23">
        <f>_xlfn.XLOOKUP(A401,'Reference Master List'!$A:$A,'Reference Master List'!$D:$D,"NOT FOUND")</f>
        <v>43025</v>
      </c>
      <c r="E401" s="24" t="s">
        <v>55</v>
      </c>
      <c r="F401" s="27" t="s">
        <v>80</v>
      </c>
      <c r="G401" s="33" t="str">
        <f>_xlfn.XLOOKUP(A401,'Reference Master List'!$A:$A,'Reference Master List'!$E:$E,"NOT FOUND")</f>
        <v>https://www.esd.whs.mil/Portals/54/Documents/DD/issuances/dodi/465001p.pdf?ver=2019-01-24-112300-743</v>
      </c>
    </row>
    <row r="402" spans="1:7" hidden="1" x14ac:dyDescent="0.25">
      <c r="A402" s="37" t="s">
        <v>4</v>
      </c>
      <c r="B402" s="21" t="str">
        <f>_xlfn.XLOOKUP(A402,'Reference Master List'!$A:$A,'Reference Master List'!$B:$B,"NOT FOUND")</f>
        <v>Engineering of Defense Systems</v>
      </c>
      <c r="C402" s="26" t="s">
        <v>62</v>
      </c>
      <c r="D402" s="23">
        <f>_xlfn.XLOOKUP(A402,'Reference Master List'!$A:$A,'Reference Master List'!$D:$D,"NOT FOUND")</f>
        <v>44153</v>
      </c>
      <c r="E402" s="24" t="s">
        <v>55</v>
      </c>
      <c r="F402" s="27" t="s">
        <v>80</v>
      </c>
      <c r="G402" s="33" t="str">
        <f>_xlfn.XLOOKUP(A402,'Reference Master List'!$A:$A,'Reference Master List'!$E:$E,"NOT FOUND")</f>
        <v>https://www.esd.whs.mil/Portals/54/Documents/DD/issuances/dodi/500088p.PDF?ver=O8LFc8NzlyJX-SgM2Haalw%3d%3d</v>
      </c>
    </row>
    <row r="403" spans="1:7" ht="30" hidden="1" x14ac:dyDescent="0.25">
      <c r="A403" s="37" t="s">
        <v>75</v>
      </c>
      <c r="B403" s="21" t="str">
        <f>_xlfn.XLOOKUP(A403,'Reference Master List'!$A:$A,'Reference Master List'!$B:$B,"NOT FOUND")</f>
        <v>Defense for Research and Engineering</v>
      </c>
      <c r="C403" s="26" t="s">
        <v>62</v>
      </c>
      <c r="D403" s="23">
        <f>_xlfn.XLOOKUP(A403,'Reference Master List'!$A:$A,'Reference Master List'!$D:$D,"NOT FOUND")</f>
        <v>44490</v>
      </c>
      <c r="E403" s="24" t="s">
        <v>55</v>
      </c>
      <c r="F403" s="27" t="s">
        <v>80</v>
      </c>
      <c r="G403" s="33" t="str">
        <f>_xlfn.XLOOKUP(A403,'Reference Master List'!$A:$A,'Reference Master List'!$E:$E,"NOT FOUND")</f>
        <v>https://www.afacpo.com/AQDocs/System%20Engineering%20Plans.docx</v>
      </c>
    </row>
    <row r="404" spans="1:7" ht="30" hidden="1" x14ac:dyDescent="0.25">
      <c r="A404" s="37" t="s">
        <v>13</v>
      </c>
      <c r="B404" s="21" t="str">
        <f>_xlfn.XLOOKUP(A404,'Reference Master List'!$A:$A,'Reference Master List'!$B:$B,"NOT FOUND")</f>
        <v>Integrated Life Cycle Management</v>
      </c>
      <c r="C404" s="26" t="s">
        <v>62</v>
      </c>
      <c r="D404" s="23">
        <f>_xlfn.XLOOKUP(A404,'Reference Master List'!$A:$A,'Reference Master List'!$D:$D,"NOT FOUND")</f>
        <v>45953</v>
      </c>
      <c r="E404" s="24" t="s">
        <v>55</v>
      </c>
      <c r="F404" s="27" t="s">
        <v>80</v>
      </c>
      <c r="G404" s="33" t="str">
        <f>_xlfn.XLOOKUP(A404,'Reference Master List'!$A:$A,'Reference Master List'!$E:$E,"NOT FOUND")</f>
        <v>https://static.e-publishing.af.mil/production/1/saf_aq/publication/dafi63-101_20-101/dafi63-101_20-101.pdf</v>
      </c>
    </row>
    <row r="405" spans="1:7" ht="45" hidden="1" x14ac:dyDescent="0.25">
      <c r="A405" s="37" t="s">
        <v>9</v>
      </c>
      <c r="B405" s="21" t="str">
        <f>_xlfn.XLOOKUP(A405,'Reference Master List'!$A:$A,'Reference Master List'!$B:$B,"NOT FOUND")</f>
        <v>Technology and Program Protection to Maintain Technological Advantage</v>
      </c>
      <c r="C405" s="26" t="s">
        <v>63</v>
      </c>
      <c r="D405" s="23">
        <f>_xlfn.XLOOKUP(A405,'Reference Master List'!$A:$A,'Reference Master List'!$D:$D,"NOT FOUND")</f>
        <v>44337</v>
      </c>
      <c r="E405" s="24" t="s">
        <v>55</v>
      </c>
      <c r="F405" s="27" t="s">
        <v>80</v>
      </c>
      <c r="G405" s="33" t="str">
        <f>_xlfn.XLOOKUP(A405,'Reference Master List'!$A:$A,'Reference Master List'!$E:$E,"NOT FOUND")</f>
        <v>https://www.esd.whs.mil/Portals/54/Documents/DD/issuances/dodi/500083p.pdf?ver=fmz4Sx5tYVXnJZNKIoPoUQ%3d%3d</v>
      </c>
    </row>
    <row r="406" spans="1:7" hidden="1" x14ac:dyDescent="0.25">
      <c r="A406" s="37" t="s">
        <v>4</v>
      </c>
      <c r="B406" s="21" t="str">
        <f>_xlfn.XLOOKUP(A406,'Reference Master List'!$A:$A,'Reference Master List'!$B:$B,"NOT FOUND")</f>
        <v>Engineering of Defense Systems</v>
      </c>
      <c r="C406" s="26" t="s">
        <v>63</v>
      </c>
      <c r="D406" s="23">
        <f>_xlfn.XLOOKUP(A406,'Reference Master List'!$A:$A,'Reference Master List'!$D:$D,"NOT FOUND")</f>
        <v>44153</v>
      </c>
      <c r="E406" s="24" t="s">
        <v>55</v>
      </c>
      <c r="F406" s="27" t="s">
        <v>80</v>
      </c>
      <c r="G406" s="33" t="str">
        <f>_xlfn.XLOOKUP(A406,'Reference Master List'!$A:$A,'Reference Master List'!$E:$E,"NOT FOUND")</f>
        <v>https://www.esd.whs.mil/Portals/54/Documents/DD/issuances/dodi/500088p.PDF?ver=O8LFc8NzlyJX-SgM2Haalw%3d%3d</v>
      </c>
    </row>
    <row r="407" spans="1:7" ht="30" hidden="1" x14ac:dyDescent="0.25">
      <c r="A407" s="37" t="s">
        <v>75</v>
      </c>
      <c r="B407" s="21" t="str">
        <f>_xlfn.XLOOKUP(A407,'Reference Master List'!$A:$A,'Reference Master List'!$B:$B,"NOT FOUND")</f>
        <v>Defense for Research and Engineering</v>
      </c>
      <c r="C407" s="26" t="s">
        <v>63</v>
      </c>
      <c r="D407" s="23">
        <f>_xlfn.XLOOKUP(A407,'Reference Master List'!$A:$A,'Reference Master List'!$D:$D,"NOT FOUND")</f>
        <v>44490</v>
      </c>
      <c r="E407" s="24" t="s">
        <v>55</v>
      </c>
      <c r="F407" s="27" t="s">
        <v>80</v>
      </c>
      <c r="G407" s="33" t="str">
        <f>_xlfn.XLOOKUP(A407,'Reference Master List'!$A:$A,'Reference Master List'!$E:$E,"NOT FOUND")</f>
        <v>https://www.afacpo.com/AQDocs/System%20Engineering%20Plans.docx</v>
      </c>
    </row>
    <row r="408" spans="1:7" ht="30" hidden="1" x14ac:dyDescent="0.25">
      <c r="A408" s="37" t="s">
        <v>13</v>
      </c>
      <c r="B408" s="21" t="str">
        <f>_xlfn.XLOOKUP(A408,'Reference Master List'!$A:$A,'Reference Master List'!$B:$B,"NOT FOUND")</f>
        <v>Integrated Life Cycle Management</v>
      </c>
      <c r="C408" s="26" t="s">
        <v>64</v>
      </c>
      <c r="D408" s="23">
        <f>_xlfn.XLOOKUP(A408,'Reference Master List'!$A:$A,'Reference Master List'!$D:$D,"NOT FOUND")</f>
        <v>45953</v>
      </c>
      <c r="E408" s="24" t="s">
        <v>55</v>
      </c>
      <c r="F408" s="27" t="s">
        <v>80</v>
      </c>
      <c r="G408" s="33" t="str">
        <f>_xlfn.XLOOKUP(A408,'Reference Master List'!$A:$A,'Reference Master List'!$E:$E,"NOT FOUND")</f>
        <v>https://static.e-publishing.af.mil/production/1/saf_aq/publication/dafi63-101_20-101/dafi63-101_20-101.pdf</v>
      </c>
    </row>
    <row r="409" spans="1:7" hidden="1" x14ac:dyDescent="0.25">
      <c r="A409" s="37" t="s">
        <v>4</v>
      </c>
      <c r="B409" s="21" t="str">
        <f>_xlfn.XLOOKUP(A409,'Reference Master List'!$A:$A,'Reference Master List'!$B:$B,"NOT FOUND")</f>
        <v>Engineering of Defense Systems</v>
      </c>
      <c r="C409" s="26" t="s">
        <v>65</v>
      </c>
      <c r="D409" s="23">
        <f>_xlfn.XLOOKUP(A409,'Reference Master List'!$A:$A,'Reference Master List'!$D:$D,"NOT FOUND")</f>
        <v>44153</v>
      </c>
      <c r="E409" s="24" t="s">
        <v>55</v>
      </c>
      <c r="F409" s="27" t="s">
        <v>80</v>
      </c>
      <c r="G409" s="33" t="str">
        <f>_xlfn.XLOOKUP(A409,'Reference Master List'!$A:$A,'Reference Master List'!$E:$E,"NOT FOUND")</f>
        <v>https://www.esd.whs.mil/Portals/54/Documents/DD/issuances/dodi/500088p.PDF?ver=O8LFc8NzlyJX-SgM2Haalw%3d%3d</v>
      </c>
    </row>
    <row r="410" spans="1:7" hidden="1" x14ac:dyDescent="0.25">
      <c r="A410" s="37" t="s">
        <v>4</v>
      </c>
      <c r="B410" s="21" t="str">
        <f>_xlfn.XLOOKUP(A410,'Reference Master List'!$A:$A,'Reference Master List'!$B:$B,"NOT FOUND")</f>
        <v>Engineering of Defense Systems</v>
      </c>
      <c r="C410" s="26" t="s">
        <v>66</v>
      </c>
      <c r="D410" s="23">
        <f>_xlfn.XLOOKUP(A410,'Reference Master List'!$A:$A,'Reference Master List'!$D:$D,"NOT FOUND")</f>
        <v>44153</v>
      </c>
      <c r="E410" s="24" t="s">
        <v>55</v>
      </c>
      <c r="F410" s="27" t="s">
        <v>80</v>
      </c>
      <c r="G410" s="33" t="str">
        <f>_xlfn.XLOOKUP(A410,'Reference Master List'!$A:$A,'Reference Master List'!$E:$E,"NOT FOUND")</f>
        <v>https://www.esd.whs.mil/Portals/54/Documents/DD/issuances/dodi/500088p.PDF?ver=O8LFc8NzlyJX-SgM2Haalw%3d%3d</v>
      </c>
    </row>
    <row r="411" spans="1:7" ht="30" hidden="1" x14ac:dyDescent="0.25">
      <c r="A411" s="37" t="s">
        <v>13</v>
      </c>
      <c r="B411" s="21" t="str">
        <f>_xlfn.XLOOKUP(A411,'Reference Master List'!$A:$A,'Reference Master List'!$B:$B,"NOT FOUND")</f>
        <v>Integrated Life Cycle Management</v>
      </c>
      <c r="C411" s="26" t="s">
        <v>67</v>
      </c>
      <c r="D411" s="23">
        <f>_xlfn.XLOOKUP(A411,'Reference Master List'!$A:$A,'Reference Master List'!$D:$D,"NOT FOUND")</f>
        <v>45953</v>
      </c>
      <c r="E411" s="24" t="s">
        <v>55</v>
      </c>
      <c r="F411" s="27" t="s">
        <v>80</v>
      </c>
      <c r="G411" s="33" t="str">
        <f>_xlfn.XLOOKUP(A411,'Reference Master List'!$A:$A,'Reference Master List'!$E:$E,"NOT FOUND")</f>
        <v>https://static.e-publishing.af.mil/production/1/saf_aq/publication/dafi63-101_20-101/dafi63-101_20-101.pdf</v>
      </c>
    </row>
    <row r="412" spans="1:7" hidden="1" x14ac:dyDescent="0.25">
      <c r="A412" s="37" t="s">
        <v>19</v>
      </c>
      <c r="B412" s="21" t="str">
        <f>_xlfn.XLOOKUP(A412,'Reference Master List'!$A:$A,'Reference Master List'!$B:$B,"NOT FOUND")</f>
        <v>Major Capability Acquisition</v>
      </c>
      <c r="C412" s="26" t="s">
        <v>67</v>
      </c>
      <c r="D412" s="23">
        <f>_xlfn.XLOOKUP(A412,'Reference Master List'!$A:$A,'Reference Master List'!$D:$D,"NOT FOUND")</f>
        <v>44049</v>
      </c>
      <c r="E412" s="24" t="s">
        <v>55</v>
      </c>
      <c r="F412" s="27" t="s">
        <v>80</v>
      </c>
      <c r="G412" s="33" t="str">
        <f>_xlfn.XLOOKUP(A412,'Reference Master List'!$A:$A,'Reference Master List'!$E:$E,"NOT FOUND")</f>
        <v>https://www.esd.whs.mil/Portals/54/Documents/DD/issuances/dodi/500085p.pdf?ver=RYqeB690-qd-txjFEAZ72A%3d%3d</v>
      </c>
    </row>
    <row r="413" spans="1:7" hidden="1" x14ac:dyDescent="0.25">
      <c r="A413" s="37" t="s">
        <v>4</v>
      </c>
      <c r="B413" s="21" t="str">
        <f>_xlfn.XLOOKUP(A413,'Reference Master List'!$A:$A,'Reference Master List'!$B:$B,"NOT FOUND")</f>
        <v>Engineering of Defense Systems</v>
      </c>
      <c r="C413" s="26" t="s">
        <v>67</v>
      </c>
      <c r="D413" s="23">
        <f>_xlfn.XLOOKUP(A413,'Reference Master List'!$A:$A,'Reference Master List'!$D:$D,"NOT FOUND")</f>
        <v>44153</v>
      </c>
      <c r="E413" s="24" t="s">
        <v>55</v>
      </c>
      <c r="F413" s="27" t="s">
        <v>80</v>
      </c>
      <c r="G413" s="33" t="str">
        <f>_xlfn.XLOOKUP(A413,'Reference Master List'!$A:$A,'Reference Master List'!$E:$E,"NOT FOUND")</f>
        <v>https://www.esd.whs.mil/Portals/54/Documents/DD/issuances/dodi/500088p.PDF?ver=O8LFc8NzlyJX-SgM2Haalw%3d%3d</v>
      </c>
    </row>
    <row r="414" spans="1:7" ht="30" hidden="1" x14ac:dyDescent="0.25">
      <c r="A414" s="37" t="s">
        <v>75</v>
      </c>
      <c r="B414" s="21" t="str">
        <f>_xlfn.XLOOKUP(A414,'Reference Master List'!$A:$A,'Reference Master List'!$B:$B,"NOT FOUND")</f>
        <v>Defense for Research and Engineering</v>
      </c>
      <c r="C414" s="26" t="s">
        <v>67</v>
      </c>
      <c r="D414" s="23">
        <f>_xlfn.XLOOKUP(A414,'Reference Master List'!$A:$A,'Reference Master List'!$D:$D,"NOT FOUND")</f>
        <v>44490</v>
      </c>
      <c r="E414" s="24" t="s">
        <v>55</v>
      </c>
      <c r="F414" s="27" t="s">
        <v>80</v>
      </c>
      <c r="G414" s="33" t="str">
        <f>_xlfn.XLOOKUP(A414,'Reference Master List'!$A:$A,'Reference Master List'!$E:$E,"NOT FOUND")</f>
        <v>https://www.afacpo.com/AQDocs/System%20Engineering%20Plans.docx</v>
      </c>
    </row>
    <row r="415" spans="1:7" hidden="1" x14ac:dyDescent="0.25">
      <c r="A415" s="37" t="s">
        <v>19</v>
      </c>
      <c r="B415" s="21" t="str">
        <f>_xlfn.XLOOKUP(A415,'Reference Master List'!$A:$A,'Reference Master List'!$B:$B,"NOT FOUND")</f>
        <v>Major Capability Acquisition</v>
      </c>
      <c r="C415" s="26" t="s">
        <v>68</v>
      </c>
      <c r="D415" s="23">
        <f>_xlfn.XLOOKUP(A415,'Reference Master List'!$A:$A,'Reference Master List'!$D:$D,"NOT FOUND")</f>
        <v>44049</v>
      </c>
      <c r="E415" s="24" t="s">
        <v>55</v>
      </c>
      <c r="F415" s="27" t="s">
        <v>80</v>
      </c>
      <c r="G415" s="33" t="str">
        <f>_xlfn.XLOOKUP(A415,'Reference Master List'!$A:$A,'Reference Master List'!$E:$E,"NOT FOUND")</f>
        <v>https://www.esd.whs.mil/Portals/54/Documents/DD/issuances/dodi/500085p.pdf?ver=RYqeB690-qd-txjFEAZ72A%3d%3d</v>
      </c>
    </row>
    <row r="416" spans="1:7" hidden="1" x14ac:dyDescent="0.25">
      <c r="A416" s="37" t="s">
        <v>4</v>
      </c>
      <c r="B416" s="21" t="str">
        <f>_xlfn.XLOOKUP(A416,'Reference Master List'!$A:$A,'Reference Master List'!$B:$B,"NOT FOUND")</f>
        <v>Engineering of Defense Systems</v>
      </c>
      <c r="C416" s="26" t="s">
        <v>68</v>
      </c>
      <c r="D416" s="23">
        <f>_xlfn.XLOOKUP(A416,'Reference Master List'!$A:$A,'Reference Master List'!$D:$D,"NOT FOUND")</f>
        <v>44153</v>
      </c>
      <c r="E416" s="24" t="s">
        <v>55</v>
      </c>
      <c r="F416" s="27" t="s">
        <v>80</v>
      </c>
      <c r="G416" s="33" t="str">
        <f>_xlfn.XLOOKUP(A416,'Reference Master List'!$A:$A,'Reference Master List'!$E:$E,"NOT FOUND")</f>
        <v>https://www.esd.whs.mil/Portals/54/Documents/DD/issuances/dodi/500088p.PDF?ver=O8LFc8NzlyJX-SgM2Haalw%3d%3d</v>
      </c>
    </row>
    <row r="417" spans="1:7" hidden="1" x14ac:dyDescent="0.25">
      <c r="A417" s="37" t="s">
        <v>360</v>
      </c>
      <c r="B417" s="21" t="str">
        <f>_xlfn.XLOOKUP(A417,'Reference Master List'!$A:$A,'Reference Master List'!$B:$B,"NOT FOUND")</f>
        <v>System Safety</v>
      </c>
      <c r="C417" s="26" t="s">
        <v>68</v>
      </c>
      <c r="D417" s="23">
        <f>_xlfn.XLOOKUP(A417,'Reference Master List'!$A:$A,'Reference Master List'!$D:$D,"NOT FOUND")</f>
        <v>45196</v>
      </c>
      <c r="E417" s="24" t="s">
        <v>55</v>
      </c>
      <c r="F417" s="27" t="s">
        <v>80</v>
      </c>
      <c r="G417" s="33" t="str">
        <f>_xlfn.XLOOKUP(A417,'Reference Master List'!$A:$A,'Reference Master List'!$E:$E,"NOT FOUND")</f>
        <v>https://quicksearch.dla.mil/Transient/4A466D8B3FA0466A942877E15486DEB6.pdf</v>
      </c>
    </row>
    <row r="418" spans="1:7" ht="30" hidden="1" x14ac:dyDescent="0.25">
      <c r="A418" s="34" t="s">
        <v>405</v>
      </c>
      <c r="B418" s="21" t="str">
        <f>_xlfn.XLOOKUP(A418,'Reference Master List'!$A:$A,'Reference Master List'!$B:$B,"NOT FOUND")</f>
        <v>Environment, Safety, and Occupational Health (ESOH)</v>
      </c>
      <c r="C418" s="26" t="s">
        <v>68</v>
      </c>
      <c r="D418" s="23">
        <f>_xlfn.XLOOKUP(A418,'Reference Master List'!$A:$A,'Reference Master List'!$D:$D,"NOT FOUND")</f>
        <v>43829</v>
      </c>
      <c r="E418" s="24" t="s">
        <v>55</v>
      </c>
      <c r="F418" s="27" t="s">
        <v>80</v>
      </c>
      <c r="G418" s="33" t="str">
        <f>_xlfn.XLOOKUP(A418,'Reference Master List'!$A:$A,'Reference Master List'!$E:$E,"NOT FOUND")</f>
        <v>https://www.esd.whs.mil/Portals/54/Documents/DD/issuances/dodd/47151Ep.PDF?ver=2019-12-30-141505-590</v>
      </c>
    </row>
    <row r="419" spans="1:7" hidden="1" x14ac:dyDescent="0.25">
      <c r="A419" s="37" t="s">
        <v>408</v>
      </c>
      <c r="B419" s="21" t="str">
        <f>_xlfn.XLOOKUP(A419,'Reference Master List'!$A:$A,'Reference Master List'!$B:$B,"NOT FOUND")</f>
        <v>Unleashing American Energy</v>
      </c>
      <c r="C419" s="26" t="s">
        <v>68</v>
      </c>
      <c r="D419" s="23">
        <f>_xlfn.XLOOKUP(A419,'Reference Master List'!$A:$A,'Reference Master List'!$D:$D,"NOT FOUND")</f>
        <v>45677</v>
      </c>
      <c r="E419" s="24" t="s">
        <v>55</v>
      </c>
      <c r="F419" s="27" t="s">
        <v>80</v>
      </c>
      <c r="G419" s="33" t="str">
        <f>_xlfn.XLOOKUP(A419,'Reference Master List'!$A:$A,'Reference Master List'!$E:$E,"NOT FOUND")</f>
        <v>https://www.govinfo.gov/content/pkg/DCPD-202500121/pdf/DCPD-202500121.pdf</v>
      </c>
    </row>
    <row r="420" spans="1:7" ht="30" hidden="1" x14ac:dyDescent="0.25">
      <c r="A420" s="37" t="s">
        <v>76</v>
      </c>
      <c r="B420" s="21" t="str">
        <f>_xlfn.XLOOKUP(A420,'Reference Master List'!$A:$A,'Reference Master List'!$B:$B,"NOT FOUND")</f>
        <v>Environmental Effects Abroad of Major Federal Actions</v>
      </c>
      <c r="C420" s="26" t="s">
        <v>68</v>
      </c>
      <c r="D420" s="23">
        <f>_xlfn.XLOOKUP(A420,'Reference Master List'!$A:$A,'Reference Master List'!$D:$D,"NOT FOUND")</f>
        <v>28859</v>
      </c>
      <c r="E420" s="24" t="s">
        <v>55</v>
      </c>
      <c r="F420" s="27" t="s">
        <v>80</v>
      </c>
      <c r="G420" s="33" t="str">
        <f>_xlfn.XLOOKUP(A420,'Reference Master List'!$A:$A,'Reference Master List'!$E:$E,"NOT FOUND")</f>
        <v>https://www.archives.gov/federal-register/codification/executive-order/12114.html</v>
      </c>
    </row>
    <row r="421" spans="1:7" ht="45" hidden="1" x14ac:dyDescent="0.25">
      <c r="A421" s="34" t="s">
        <v>0</v>
      </c>
      <c r="B421" s="21" t="str">
        <f>_xlfn.XLOOKUP(A421,'Reference Master List'!$A:$A,'Reference Master List'!$B:$B,"NOT FOUND")</f>
        <v>Product Support Management for the Adaptive Acquisition  Framework</v>
      </c>
      <c r="C421" s="26" t="s">
        <v>69</v>
      </c>
      <c r="D421" s="23">
        <f>_xlfn.XLOOKUP(A421,'Reference Master List'!$A:$A,'Reference Master List'!$D:$D,"NOT FOUND")</f>
        <v>44504</v>
      </c>
      <c r="E421" s="24" t="s">
        <v>55</v>
      </c>
      <c r="F421" s="27" t="s">
        <v>80</v>
      </c>
      <c r="G421" s="33" t="str">
        <f>_xlfn.XLOOKUP(A421,'Reference Master List'!$A:$A,'Reference Master List'!$E:$E,"NOT FOUND")</f>
        <v>https://www.esd.whs.mil/Portals/54/Documents/DD/issuances/dodi/500091p.PDF?ver=qk1slCU3Y0c1acIDocWyJA%3d%3d</v>
      </c>
    </row>
    <row r="422" spans="1:7" ht="45" hidden="1" x14ac:dyDescent="0.25">
      <c r="A422" s="37" t="s">
        <v>6</v>
      </c>
      <c r="B422" s="21" t="str">
        <f>_xlfn.XLOOKUP(A422,'Reference Master List'!$A:$A,'Reference Master List'!$B:$B,"NOT FOUND")</f>
        <v>Prevention and Mitigation of Corrosion on DoD Military Equipment and Infrastructure</v>
      </c>
      <c r="C422" s="26" t="s">
        <v>69</v>
      </c>
      <c r="D422" s="23">
        <f>_xlfn.XLOOKUP(A422,'Reference Master List'!$A:$A,'Reference Master List'!$D:$D,"NOT FOUND")</f>
        <v>43343</v>
      </c>
      <c r="E422" s="24" t="s">
        <v>55</v>
      </c>
      <c r="F422" s="27" t="s">
        <v>80</v>
      </c>
      <c r="G422" s="33" t="str">
        <f>_xlfn.XLOOKUP(A422,'Reference Master List'!$A:$A,'Reference Master List'!$E:$E,"NOT FOUND")</f>
        <v>https://www.esd.whs.mil/Portals/54/Documents/DD/issuances/dodi/500067p.pdf?ver=2019-03-07-133844-480</v>
      </c>
    </row>
    <row r="423" spans="1:7" hidden="1" x14ac:dyDescent="0.25">
      <c r="A423" s="37" t="s">
        <v>4</v>
      </c>
      <c r="B423" s="21" t="str">
        <f>_xlfn.XLOOKUP(A423,'Reference Master List'!$A:$A,'Reference Master List'!$B:$B,"NOT FOUND")</f>
        <v>Engineering of Defense Systems</v>
      </c>
      <c r="C423" s="26" t="s">
        <v>69</v>
      </c>
      <c r="D423" s="23">
        <f>_xlfn.XLOOKUP(A423,'Reference Master List'!$A:$A,'Reference Master List'!$D:$D,"NOT FOUND")</f>
        <v>44153</v>
      </c>
      <c r="E423" s="24" t="s">
        <v>55</v>
      </c>
      <c r="F423" s="27" t="s">
        <v>80</v>
      </c>
      <c r="G423" s="33" t="str">
        <f>_xlfn.XLOOKUP(A423,'Reference Master List'!$A:$A,'Reference Master List'!$E:$E,"NOT FOUND")</f>
        <v>https://www.esd.whs.mil/Portals/54/Documents/DD/issuances/dodi/500088p.PDF?ver=O8LFc8NzlyJX-SgM2Haalw%3d%3d</v>
      </c>
    </row>
    <row r="424" spans="1:7" hidden="1" x14ac:dyDescent="0.25">
      <c r="A424" s="37" t="s">
        <v>4</v>
      </c>
      <c r="B424" s="21" t="str">
        <f>_xlfn.XLOOKUP(A424,'Reference Master List'!$A:$A,'Reference Master List'!$B:$B,"NOT FOUND")</f>
        <v>Engineering of Defense Systems</v>
      </c>
      <c r="C424" s="26" t="s">
        <v>70</v>
      </c>
      <c r="D424" s="23">
        <f>_xlfn.XLOOKUP(A424,'Reference Master List'!$A:$A,'Reference Master List'!$D:$D,"NOT FOUND")</f>
        <v>44153</v>
      </c>
      <c r="E424" s="24" t="s">
        <v>55</v>
      </c>
      <c r="F424" s="27" t="s">
        <v>80</v>
      </c>
      <c r="G424" s="33" t="str">
        <f>_xlfn.XLOOKUP(A424,'Reference Master List'!$A:$A,'Reference Master List'!$E:$E,"NOT FOUND")</f>
        <v>https://www.esd.whs.mil/Portals/54/Documents/DD/issuances/dodi/500088p.PDF?ver=O8LFc8NzlyJX-SgM2Haalw%3d%3d</v>
      </c>
    </row>
    <row r="425" spans="1:7" ht="30" hidden="1" x14ac:dyDescent="0.25">
      <c r="A425" s="37" t="s">
        <v>294</v>
      </c>
      <c r="B425" s="21" t="str">
        <f>_xlfn.XLOOKUP(A425,'Reference Master List'!$A:$A,'Reference Master List'!$B:$B,"NOT FOUND")</f>
        <v>Communications Waveform Management and Standardization</v>
      </c>
      <c r="C425" s="26" t="s">
        <v>70</v>
      </c>
      <c r="D425" s="23">
        <f>_xlfn.XLOOKUP(A425,'Reference Master List'!$A:$A,'Reference Master List'!$D:$D,"NOT FOUND")</f>
        <v>44158</v>
      </c>
      <c r="E425" s="24" t="s">
        <v>55</v>
      </c>
      <c r="F425" s="27" t="s">
        <v>80</v>
      </c>
      <c r="G425" s="33" t="str">
        <f>_xlfn.XLOOKUP(A425,'Reference Master List'!$A:$A,'Reference Master List'!$E:$E,"NOT FOUND")</f>
        <v>https://www.esd.whs.mil/Portals/54/Documents/DD/issuances/dodi/463009p.pdf?ver=_AodYK2mcqGmezDUQiIGhA%3d%3d</v>
      </c>
    </row>
    <row r="426" spans="1:7" ht="30" hidden="1" x14ac:dyDescent="0.25">
      <c r="A426" s="34" t="s">
        <v>13</v>
      </c>
      <c r="B426" s="21" t="str">
        <f>_xlfn.XLOOKUP(A426,'Reference Master List'!$A:$A,'Reference Master List'!$B:$B,"NOT FOUND")</f>
        <v>Integrated Life Cycle Management</v>
      </c>
      <c r="C426" s="26" t="s">
        <v>70</v>
      </c>
      <c r="D426" s="23">
        <f>_xlfn.XLOOKUP(A426,'Reference Master List'!$A:$A,'Reference Master List'!$D:$D,"NOT FOUND")</f>
        <v>45953</v>
      </c>
      <c r="E426" s="24" t="s">
        <v>55</v>
      </c>
      <c r="F426" s="27" t="s">
        <v>80</v>
      </c>
      <c r="G426" s="33" t="str">
        <f>_xlfn.XLOOKUP(A426,'Reference Master List'!$A:$A,'Reference Master List'!$E:$E,"NOT FOUND")</f>
        <v>https://static.e-publishing.af.mil/production/1/saf_aq/publication/dafi63-101_20-101/dafi63-101_20-101.pdf</v>
      </c>
    </row>
    <row r="427" spans="1:7" hidden="1" x14ac:dyDescent="0.25">
      <c r="A427" s="37" t="s">
        <v>4</v>
      </c>
      <c r="B427" s="21" t="str">
        <f>_xlfn.XLOOKUP(A427,'Reference Master List'!$A:$A,'Reference Master List'!$B:$B,"NOT FOUND")</f>
        <v>Engineering of Defense Systems</v>
      </c>
      <c r="C427" s="26" t="s">
        <v>71</v>
      </c>
      <c r="D427" s="23">
        <f>_xlfn.XLOOKUP(A427,'Reference Master List'!$A:$A,'Reference Master List'!$D:$D,"NOT FOUND")</f>
        <v>44153</v>
      </c>
      <c r="E427" s="24" t="s">
        <v>55</v>
      </c>
      <c r="F427" s="27" t="s">
        <v>80</v>
      </c>
      <c r="G427" s="33" t="str">
        <f>_xlfn.XLOOKUP(A427,'Reference Master List'!$A:$A,'Reference Master List'!$E:$E,"NOT FOUND")</f>
        <v>https://www.esd.whs.mil/Portals/54/Documents/DD/issuances/dodi/500088p.PDF?ver=O8LFc8NzlyJX-SgM2Haalw%3d%3d</v>
      </c>
    </row>
    <row r="428" spans="1:7" hidden="1" x14ac:dyDescent="0.25">
      <c r="A428" s="37" t="s">
        <v>360</v>
      </c>
      <c r="B428" s="21" t="str">
        <f>_xlfn.XLOOKUP(A428,'Reference Master List'!$A:$A,'Reference Master List'!$B:$B,"NOT FOUND")</f>
        <v>System Safety</v>
      </c>
      <c r="C428" s="26" t="s">
        <v>72</v>
      </c>
      <c r="D428" s="23">
        <f>_xlfn.XLOOKUP(A428,'Reference Master List'!$A:$A,'Reference Master List'!$D:$D,"NOT FOUND")</f>
        <v>45196</v>
      </c>
      <c r="E428" s="24" t="s">
        <v>55</v>
      </c>
      <c r="F428" s="27" t="s">
        <v>80</v>
      </c>
      <c r="G428" s="33" t="str">
        <f>_xlfn.XLOOKUP(A428,'Reference Master List'!$A:$A,'Reference Master List'!$E:$E,"NOT FOUND")</f>
        <v>https://quicksearch.dla.mil/Transient/4A466D8B3FA0466A942877E15486DEB6.pdf</v>
      </c>
    </row>
    <row r="429" spans="1:7" hidden="1" x14ac:dyDescent="0.25">
      <c r="A429" s="37" t="s">
        <v>4</v>
      </c>
      <c r="B429" s="21" t="str">
        <f>_xlfn.XLOOKUP(A429,'Reference Master List'!$A:$A,'Reference Master List'!$B:$B,"NOT FOUND")</f>
        <v>Engineering of Defense Systems</v>
      </c>
      <c r="C429" s="26" t="s">
        <v>72</v>
      </c>
      <c r="D429" s="23">
        <f>_xlfn.XLOOKUP(A429,'Reference Master List'!$A:$A,'Reference Master List'!$D:$D,"NOT FOUND")</f>
        <v>44153</v>
      </c>
      <c r="E429" s="24" t="s">
        <v>55</v>
      </c>
      <c r="F429" s="27" t="s">
        <v>80</v>
      </c>
      <c r="G429" s="33" t="str">
        <f>_xlfn.XLOOKUP(A429,'Reference Master List'!$A:$A,'Reference Master List'!$E:$E,"NOT FOUND")</f>
        <v>https://www.esd.whs.mil/Portals/54/Documents/DD/issuances/dodi/500088p.PDF?ver=O8LFc8NzlyJX-SgM2Haalw%3d%3d</v>
      </c>
    </row>
    <row r="430" spans="1:7" ht="30" hidden="1" x14ac:dyDescent="0.25">
      <c r="A430" s="37" t="s">
        <v>13</v>
      </c>
      <c r="B430" s="21" t="s">
        <v>399</v>
      </c>
      <c r="C430" s="26" t="s">
        <v>72</v>
      </c>
      <c r="D430" s="23">
        <v>40925</v>
      </c>
      <c r="E430" s="24" t="s">
        <v>55</v>
      </c>
      <c r="F430" s="27" t="s">
        <v>80</v>
      </c>
      <c r="G430" s="33" t="s">
        <v>398</v>
      </c>
    </row>
    <row r="431" spans="1:7" ht="30" hidden="1" x14ac:dyDescent="0.25">
      <c r="A431" s="37" t="s">
        <v>394</v>
      </c>
      <c r="B431" s="21" t="str">
        <f>_xlfn.XLOOKUP(A431,'Reference Master List'!$A:$A,'Reference Master List'!$B:$B,"NOT FOUND")</f>
        <v>Engineering of Defense Systems Guidebook</v>
      </c>
      <c r="C431" s="26" t="s">
        <v>73</v>
      </c>
      <c r="D431" s="23">
        <f>_xlfn.XLOOKUP(A431,'Reference Master List'!$A:$A,'Reference Master List'!$D:$D,"NOT FOUND")</f>
        <v>45566</v>
      </c>
      <c r="E431" s="24" t="s">
        <v>55</v>
      </c>
      <c r="F431" s="27" t="s">
        <v>80</v>
      </c>
      <c r="G431" s="33" t="str">
        <f>_xlfn.XLOOKUP(A431,'Reference Master List'!$A:$A,'Reference Master List'!$E:$E,"NOT FOUND")</f>
        <v>https://www.waru.edu/sites/default/files/2024-10/Eng-Def-Sys-Change2-7October2024-v3.pdf</v>
      </c>
    </row>
    <row r="432" spans="1:7" hidden="1" x14ac:dyDescent="0.25">
      <c r="A432" s="37" t="s">
        <v>4</v>
      </c>
      <c r="B432" s="21" t="str">
        <f>_xlfn.XLOOKUP(A432,'Reference Master List'!$A:$A,'Reference Master List'!$B:$B,"NOT FOUND")</f>
        <v>Engineering of Defense Systems</v>
      </c>
      <c r="C432" s="26" t="s">
        <v>74</v>
      </c>
      <c r="D432" s="23">
        <f>_xlfn.XLOOKUP(A432,'Reference Master List'!$A:$A,'Reference Master List'!$D:$D,"NOT FOUND")</f>
        <v>44153</v>
      </c>
      <c r="E432" s="24" t="s">
        <v>55</v>
      </c>
      <c r="F432" s="27" t="s">
        <v>80</v>
      </c>
      <c r="G432" s="33" t="str">
        <f>_xlfn.XLOOKUP(A432,'Reference Master List'!$A:$A,'Reference Master List'!$E:$E,"NOT FOUND")</f>
        <v>https://www.esd.whs.mil/Portals/54/Documents/DD/issuances/dodi/500088p.PDF?ver=O8LFc8NzlyJX-SgM2Haalw%3d%3d</v>
      </c>
    </row>
    <row r="433" spans="1:7" ht="45" hidden="1" x14ac:dyDescent="0.25">
      <c r="A433" s="37" t="s">
        <v>9</v>
      </c>
      <c r="B433" s="21" t="str">
        <f>_xlfn.XLOOKUP(A433,'Reference Master List'!$A:$A,'Reference Master List'!$B:$B,"NOT FOUND")</f>
        <v>Technology and Program Protection to Maintain Technological Advantage</v>
      </c>
      <c r="C433" s="26" t="s">
        <v>74</v>
      </c>
      <c r="D433" s="23">
        <f>_xlfn.XLOOKUP(A433,'Reference Master List'!$A:$A,'Reference Master List'!$D:$D,"NOT FOUND")</f>
        <v>44337</v>
      </c>
      <c r="E433" s="24" t="s">
        <v>55</v>
      </c>
      <c r="F433" s="27" t="s">
        <v>80</v>
      </c>
      <c r="G433" s="33" t="str">
        <f>_xlfn.XLOOKUP(A433,'Reference Master List'!$A:$A,'Reference Master List'!$E:$E,"NOT FOUND")</f>
        <v>https://www.esd.whs.mil/Portals/54/Documents/DD/issuances/dodi/500083p.pdf?ver=fmz4Sx5tYVXnJZNKIoPoUQ%3d%3d</v>
      </c>
    </row>
    <row r="434" spans="1:7" hidden="1" x14ac:dyDescent="0.25">
      <c r="A434" s="37" t="s">
        <v>4</v>
      </c>
      <c r="B434" s="21" t="str">
        <f>_xlfn.XLOOKUP(A434,'Reference Master List'!$A:$A,'Reference Master List'!$B:$B,"NOT FOUND")</f>
        <v>Engineering of Defense Systems</v>
      </c>
      <c r="C434" s="26" t="s">
        <v>74</v>
      </c>
      <c r="D434" s="23">
        <f>_xlfn.XLOOKUP(A434,'Reference Master List'!$A:$A,'Reference Master List'!$D:$D,"NOT FOUND")</f>
        <v>44153</v>
      </c>
      <c r="E434" s="24" t="s">
        <v>55</v>
      </c>
      <c r="F434" s="27" t="s">
        <v>80</v>
      </c>
      <c r="G434" s="33" t="str">
        <f>_xlfn.XLOOKUP(A434,'Reference Master List'!$A:$A,'Reference Master List'!$E:$E,"NOT FOUND")</f>
        <v>https://www.esd.whs.mil/Portals/54/Documents/DD/issuances/dodi/500088p.PDF?ver=O8LFc8NzlyJX-SgM2Haalw%3d%3d</v>
      </c>
    </row>
    <row r="435" spans="1:7" ht="45.75" hidden="1" thickBot="1" x14ac:dyDescent="0.3">
      <c r="A435" s="38" t="s">
        <v>9</v>
      </c>
      <c r="B435" s="39" t="str">
        <f>_xlfn.XLOOKUP(A435,'Reference Master List'!$A:$A,'Reference Master List'!$B:$B,"NOT FOUND")</f>
        <v>Technology and Program Protection to Maintain Technological Advantage</v>
      </c>
      <c r="C435" s="40" t="s">
        <v>74</v>
      </c>
      <c r="D435" s="41">
        <f>_xlfn.XLOOKUP(A435,'Reference Master List'!$A:$A,'Reference Master List'!$D:$D,"NOT FOUND")</f>
        <v>44337</v>
      </c>
      <c r="E435" s="42" t="s">
        <v>55</v>
      </c>
      <c r="F435" s="43" t="s">
        <v>80</v>
      </c>
      <c r="G435" s="44" t="str">
        <f>_xlfn.XLOOKUP(A435,'Reference Master List'!$A:$A,'Reference Master List'!$E:$E,"NOT FOUND")</f>
        <v>https://www.esd.whs.mil/Portals/54/Documents/DD/issuances/dodi/500083p.pdf?ver=fmz4Sx5tYVXnJZNKIoPoUQ%3d%3d</v>
      </c>
    </row>
    <row r="436" spans="1:7" hidden="1" x14ac:dyDescent="0.25">
      <c r="G436" s="2" t="s">
        <v>77</v>
      </c>
    </row>
  </sheetData>
  <autoFilter ref="A1:G436" xr:uid="{BDC1B9BE-C762-4A57-9964-41006AA7E8E3}">
    <filterColumn colId="4">
      <filters>
        <filter val="LCSP"/>
      </filters>
    </filterColumn>
  </autoFilter>
  <conditionalFormatting sqref="A1:XFD1048576">
    <cfRule type="cellIs" dxfId="1" priority="1" operator="equal">
      <formula>"NOT FOUND"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D2C4-8DE0-4EFA-A5CA-5F296B9AA870}">
  <dimension ref="A1:E72"/>
  <sheetViews>
    <sheetView workbookViewId="0">
      <pane ySplit="1" topLeftCell="A2" activePane="bottomLeft" state="frozen"/>
      <selection pane="bottomLeft" activeCell="A58" sqref="A58"/>
    </sheetView>
  </sheetViews>
  <sheetFormatPr defaultColWidth="8.85546875" defaultRowHeight="15" x14ac:dyDescent="0.25"/>
  <cols>
    <col min="1" max="1" width="20.5703125" style="13" bestFit="1" customWidth="1"/>
    <col min="2" max="2" width="44.42578125" style="10" bestFit="1" customWidth="1"/>
    <col min="3" max="3" width="11.5703125" style="4" customWidth="1"/>
    <col min="4" max="4" width="10.42578125" style="12" bestFit="1" customWidth="1"/>
    <col min="5" max="5" width="106.42578125" style="8" customWidth="1"/>
    <col min="6" max="16384" width="8.85546875" style="8"/>
  </cols>
  <sheetData>
    <row r="1" spans="1:5" ht="30" x14ac:dyDescent="0.25">
      <c r="A1" s="14" t="s">
        <v>278</v>
      </c>
      <c r="B1" s="15" t="s">
        <v>279</v>
      </c>
      <c r="C1" s="16" t="s">
        <v>53</v>
      </c>
      <c r="D1" s="17" t="s">
        <v>283</v>
      </c>
      <c r="E1" s="16" t="s">
        <v>51</v>
      </c>
    </row>
    <row r="2" spans="1:5" x14ac:dyDescent="0.25">
      <c r="A2" s="9" t="s">
        <v>34</v>
      </c>
      <c r="B2" s="10" t="s">
        <v>284</v>
      </c>
      <c r="D2" s="6">
        <v>44951</v>
      </c>
      <c r="E2" s="8" t="s">
        <v>285</v>
      </c>
    </row>
    <row r="3" spans="1:5" x14ac:dyDescent="0.25">
      <c r="A3" s="9" t="s">
        <v>405</v>
      </c>
      <c r="B3" t="s">
        <v>406</v>
      </c>
      <c r="D3" s="6">
        <v>43829</v>
      </c>
      <c r="E3" s="8" t="s">
        <v>407</v>
      </c>
    </row>
    <row r="4" spans="1:5" x14ac:dyDescent="0.25">
      <c r="A4" s="9" t="s">
        <v>314</v>
      </c>
      <c r="B4" s="11" t="s">
        <v>313</v>
      </c>
      <c r="D4" s="6">
        <v>44770</v>
      </c>
      <c r="E4" s="8" t="s">
        <v>315</v>
      </c>
    </row>
    <row r="5" spans="1:5" ht="30" x14ac:dyDescent="0.25">
      <c r="A5" s="9" t="s">
        <v>10</v>
      </c>
      <c r="B5" s="10" t="s">
        <v>286</v>
      </c>
      <c r="D5" s="6">
        <v>42976</v>
      </c>
      <c r="E5" s="8" t="s">
        <v>297</v>
      </c>
    </row>
    <row r="6" spans="1:5" ht="30" x14ac:dyDescent="0.25">
      <c r="A6" s="9" t="s">
        <v>25</v>
      </c>
      <c r="B6" s="10" t="s">
        <v>387</v>
      </c>
      <c r="C6" s="18" t="s">
        <v>386</v>
      </c>
      <c r="D6" s="6">
        <v>45635</v>
      </c>
      <c r="E6" s="8" t="s">
        <v>287</v>
      </c>
    </row>
    <row r="7" spans="1:5" ht="30" x14ac:dyDescent="0.25">
      <c r="A7" s="9" t="s">
        <v>31</v>
      </c>
      <c r="B7" s="10" t="s">
        <v>388</v>
      </c>
      <c r="C7" s="18" t="s">
        <v>386</v>
      </c>
      <c r="D7" s="6">
        <v>45635</v>
      </c>
      <c r="E7" s="8" t="s">
        <v>288</v>
      </c>
    </row>
    <row r="8" spans="1:5" ht="30" x14ac:dyDescent="0.25">
      <c r="A8" s="9" t="s">
        <v>27</v>
      </c>
      <c r="B8" s="10" t="s">
        <v>389</v>
      </c>
      <c r="C8" s="18" t="s">
        <v>386</v>
      </c>
      <c r="D8" s="6">
        <v>45635</v>
      </c>
      <c r="E8" s="8" t="s">
        <v>289</v>
      </c>
    </row>
    <row r="9" spans="1:5" ht="45" x14ac:dyDescent="0.25">
      <c r="A9" s="9" t="s">
        <v>33</v>
      </c>
      <c r="B9" s="10" t="s">
        <v>390</v>
      </c>
      <c r="C9" s="18" t="s">
        <v>386</v>
      </c>
      <c r="D9" s="6">
        <v>45635</v>
      </c>
      <c r="E9" s="8" t="s">
        <v>290</v>
      </c>
    </row>
    <row r="10" spans="1:5" ht="45" x14ac:dyDescent="0.25">
      <c r="A10" s="9" t="s">
        <v>32</v>
      </c>
      <c r="B10" s="10" t="s">
        <v>385</v>
      </c>
      <c r="C10" s="18" t="s">
        <v>386</v>
      </c>
      <c r="D10" s="6">
        <v>45635</v>
      </c>
      <c r="E10" s="8" t="s">
        <v>291</v>
      </c>
    </row>
    <row r="11" spans="1:5" ht="30" x14ac:dyDescent="0.25">
      <c r="A11" s="5" t="s">
        <v>292</v>
      </c>
      <c r="B11" s="10" t="s">
        <v>303</v>
      </c>
      <c r="C11" s="18" t="s">
        <v>301</v>
      </c>
      <c r="D11" s="8" t="s">
        <v>303</v>
      </c>
      <c r="E11" s="8" t="s">
        <v>303</v>
      </c>
    </row>
    <row r="12" spans="1:5" x14ac:dyDescent="0.25">
      <c r="A12" s="5" t="s">
        <v>293</v>
      </c>
      <c r="B12" s="11" t="s">
        <v>304</v>
      </c>
      <c r="D12" s="6">
        <v>44651</v>
      </c>
      <c r="E12" s="8" t="s">
        <v>302</v>
      </c>
    </row>
    <row r="13" spans="1:5" x14ac:dyDescent="0.25">
      <c r="A13" s="9" t="s">
        <v>5</v>
      </c>
      <c r="B13" s="11" t="s">
        <v>305</v>
      </c>
      <c r="D13" s="6">
        <v>43530</v>
      </c>
      <c r="E13" s="8" t="s">
        <v>306</v>
      </c>
    </row>
    <row r="14" spans="1:5" ht="30" x14ac:dyDescent="0.25">
      <c r="A14" s="5" t="s">
        <v>294</v>
      </c>
      <c r="B14" s="11" t="s">
        <v>307</v>
      </c>
      <c r="D14" s="6">
        <v>44158</v>
      </c>
      <c r="E14" s="8" t="s">
        <v>308</v>
      </c>
    </row>
    <row r="15" spans="1:5" ht="30" x14ac:dyDescent="0.25">
      <c r="A15" s="5" t="s">
        <v>295</v>
      </c>
      <c r="B15" s="11" t="s">
        <v>309</v>
      </c>
      <c r="D15" s="6">
        <v>43025</v>
      </c>
      <c r="E15" s="8" t="s">
        <v>310</v>
      </c>
    </row>
    <row r="16" spans="1:5" ht="30" x14ac:dyDescent="0.25">
      <c r="A16" s="5" t="s">
        <v>296</v>
      </c>
      <c r="B16" s="11" t="s">
        <v>311</v>
      </c>
      <c r="D16" s="6">
        <v>43853</v>
      </c>
      <c r="E16" s="8" t="s">
        <v>312</v>
      </c>
    </row>
    <row r="17" spans="1:5" ht="30" x14ac:dyDescent="0.25">
      <c r="A17" s="9" t="s">
        <v>38</v>
      </c>
      <c r="B17" s="11" t="s">
        <v>316</v>
      </c>
      <c r="D17" s="6">
        <v>45552</v>
      </c>
      <c r="E17" s="8" t="s">
        <v>317</v>
      </c>
    </row>
    <row r="18" spans="1:5" ht="30" x14ac:dyDescent="0.25">
      <c r="A18" s="9" t="s">
        <v>6</v>
      </c>
      <c r="B18" s="10" t="s">
        <v>318</v>
      </c>
      <c r="D18" s="6">
        <v>43343</v>
      </c>
      <c r="E18" s="8" t="s">
        <v>319</v>
      </c>
    </row>
    <row r="19" spans="1:5" x14ac:dyDescent="0.25">
      <c r="A19" s="9" t="s">
        <v>11</v>
      </c>
      <c r="B19" s="10" t="s">
        <v>320</v>
      </c>
      <c r="D19" s="6">
        <v>45589</v>
      </c>
      <c r="E19" s="8" t="s">
        <v>321</v>
      </c>
    </row>
    <row r="20" spans="1:5" x14ac:dyDescent="0.25">
      <c r="A20" s="9" t="s">
        <v>2</v>
      </c>
      <c r="B20" s="10" t="s">
        <v>322</v>
      </c>
      <c r="D20" s="6">
        <v>44371</v>
      </c>
      <c r="E20" s="8" t="s">
        <v>323</v>
      </c>
    </row>
    <row r="21" spans="1:5" x14ac:dyDescent="0.25">
      <c r="A21" s="9" t="s">
        <v>1</v>
      </c>
      <c r="B21" s="10" t="s">
        <v>324</v>
      </c>
      <c r="D21" s="6">
        <v>45621</v>
      </c>
      <c r="E21" s="8" t="s">
        <v>325</v>
      </c>
    </row>
    <row r="22" spans="1:5" x14ac:dyDescent="0.25">
      <c r="A22" s="9" t="s">
        <v>12</v>
      </c>
      <c r="B22" s="10" t="s">
        <v>326</v>
      </c>
      <c r="D22" s="6">
        <v>43830</v>
      </c>
      <c r="E22" s="8" t="s">
        <v>327</v>
      </c>
    </row>
    <row r="23" spans="1:5" ht="30" x14ac:dyDescent="0.25">
      <c r="A23" s="9" t="s">
        <v>3</v>
      </c>
      <c r="B23" s="10" t="s">
        <v>328</v>
      </c>
      <c r="D23" s="6">
        <v>45078</v>
      </c>
      <c r="E23" s="8" t="s">
        <v>329</v>
      </c>
    </row>
    <row r="24" spans="1:5" ht="30" x14ac:dyDescent="0.25">
      <c r="A24" s="9" t="s">
        <v>9</v>
      </c>
      <c r="B24" s="10" t="s">
        <v>330</v>
      </c>
      <c r="D24" s="12">
        <v>44337</v>
      </c>
      <c r="E24" s="8" t="s">
        <v>331</v>
      </c>
    </row>
    <row r="25" spans="1:5" x14ac:dyDescent="0.25">
      <c r="A25" s="9" t="s">
        <v>19</v>
      </c>
      <c r="B25" s="10" t="s">
        <v>332</v>
      </c>
      <c r="D25" s="12">
        <v>44049</v>
      </c>
      <c r="E25" s="8" t="s">
        <v>333</v>
      </c>
    </row>
    <row r="26" spans="1:5" x14ac:dyDescent="0.25">
      <c r="A26" s="9" t="s">
        <v>18</v>
      </c>
      <c r="B26" s="10" t="s">
        <v>334</v>
      </c>
      <c r="D26" s="12">
        <v>44106</v>
      </c>
      <c r="E26" s="8" t="s">
        <v>335</v>
      </c>
    </row>
    <row r="27" spans="1:5" x14ac:dyDescent="0.25">
      <c r="A27" s="9" t="s">
        <v>4</v>
      </c>
      <c r="B27" s="10" t="s">
        <v>336</v>
      </c>
      <c r="D27" s="12">
        <v>44153</v>
      </c>
      <c r="E27" s="8" t="s">
        <v>337</v>
      </c>
    </row>
    <row r="28" spans="1:5" x14ac:dyDescent="0.25">
      <c r="A28" s="9" t="s">
        <v>17</v>
      </c>
      <c r="B28" s="10" t="s">
        <v>338</v>
      </c>
      <c r="D28" s="12">
        <v>44154</v>
      </c>
      <c r="E28" s="8" t="s">
        <v>339</v>
      </c>
    </row>
    <row r="29" spans="1:5" ht="30" x14ac:dyDescent="0.25">
      <c r="A29" s="9" t="s">
        <v>36</v>
      </c>
      <c r="B29" s="10" t="s">
        <v>340</v>
      </c>
      <c r="D29" s="12">
        <v>44196</v>
      </c>
      <c r="E29" s="8" t="s">
        <v>341</v>
      </c>
    </row>
    <row r="30" spans="1:5" ht="30" x14ac:dyDescent="0.25">
      <c r="A30" s="9" t="s">
        <v>0</v>
      </c>
      <c r="B30" s="10" t="s">
        <v>342</v>
      </c>
      <c r="D30" s="12">
        <v>44504</v>
      </c>
      <c r="E30" s="8" t="s">
        <v>343</v>
      </c>
    </row>
    <row r="31" spans="1:5" ht="18" customHeight="1" x14ac:dyDescent="0.25">
      <c r="A31" s="9" t="s">
        <v>37</v>
      </c>
      <c r="B31" s="10" t="s">
        <v>383</v>
      </c>
      <c r="D31" s="12">
        <v>44652</v>
      </c>
      <c r="E31" s="8" t="s">
        <v>344</v>
      </c>
    </row>
    <row r="32" spans="1:5" ht="45" x14ac:dyDescent="0.25">
      <c r="A32" s="9" t="s">
        <v>30</v>
      </c>
      <c r="B32" s="10" t="s">
        <v>391</v>
      </c>
      <c r="C32" s="18" t="s">
        <v>386</v>
      </c>
      <c r="D32" s="12">
        <v>45635</v>
      </c>
      <c r="E32" s="8" t="s">
        <v>345</v>
      </c>
    </row>
    <row r="33" spans="1:5" x14ac:dyDescent="0.25">
      <c r="A33" s="9" t="s">
        <v>7</v>
      </c>
      <c r="B33" s="10" t="s">
        <v>346</v>
      </c>
      <c r="D33" s="12">
        <v>46199</v>
      </c>
      <c r="E33" s="8" t="s">
        <v>347</v>
      </c>
    </row>
    <row r="34" spans="1:5" ht="30" x14ac:dyDescent="0.25">
      <c r="A34" s="9" t="s">
        <v>300</v>
      </c>
      <c r="B34" s="10" t="s">
        <v>298</v>
      </c>
      <c r="D34" s="6">
        <v>45338</v>
      </c>
      <c r="E34" s="8" t="s">
        <v>299</v>
      </c>
    </row>
    <row r="35" spans="1:5" ht="30" x14ac:dyDescent="0.25">
      <c r="A35" s="9" t="s">
        <v>23</v>
      </c>
      <c r="B35" s="10" t="s">
        <v>348</v>
      </c>
      <c r="D35" s="12">
        <v>44831</v>
      </c>
      <c r="E35" s="8" t="s">
        <v>349</v>
      </c>
    </row>
    <row r="36" spans="1:5" ht="30" x14ac:dyDescent="0.25">
      <c r="A36" s="9" t="s">
        <v>8</v>
      </c>
      <c r="B36" s="10" t="s">
        <v>350</v>
      </c>
      <c r="D36" s="12">
        <v>42362</v>
      </c>
      <c r="E36" s="8" t="s">
        <v>351</v>
      </c>
    </row>
    <row r="37" spans="1:5" x14ac:dyDescent="0.25">
      <c r="A37" s="9" t="s">
        <v>26</v>
      </c>
      <c r="B37" s="10" t="s">
        <v>40</v>
      </c>
      <c r="D37" s="12">
        <v>43745</v>
      </c>
      <c r="E37" s="8" t="s">
        <v>352</v>
      </c>
    </row>
    <row r="38" spans="1:5" x14ac:dyDescent="0.25">
      <c r="A38" s="9" t="s">
        <v>35</v>
      </c>
      <c r="B38" s="10" t="s">
        <v>353</v>
      </c>
      <c r="D38" s="12">
        <v>44761</v>
      </c>
      <c r="E38" s="8" t="s">
        <v>354</v>
      </c>
    </row>
    <row r="39" spans="1:5" x14ac:dyDescent="0.25">
      <c r="A39" s="9" t="s">
        <v>14</v>
      </c>
      <c r="B39" s="10" t="s">
        <v>355</v>
      </c>
      <c r="D39" s="12">
        <v>45884</v>
      </c>
      <c r="E39" s="8" t="s">
        <v>356</v>
      </c>
    </row>
    <row r="40" spans="1:5" x14ac:dyDescent="0.25">
      <c r="A40" s="9" t="s">
        <v>15</v>
      </c>
      <c r="B40" s="10" t="s">
        <v>357</v>
      </c>
      <c r="D40" s="12">
        <v>42447</v>
      </c>
      <c r="E40" s="8" t="s">
        <v>358</v>
      </c>
    </row>
    <row r="41" spans="1:5" ht="30" x14ac:dyDescent="0.25">
      <c r="A41" s="9" t="s">
        <v>16</v>
      </c>
      <c r="B41" s="10" t="s">
        <v>392</v>
      </c>
      <c r="C41" s="18" t="s">
        <v>393</v>
      </c>
      <c r="D41" s="12">
        <v>45883</v>
      </c>
      <c r="E41" s="8" t="s">
        <v>359</v>
      </c>
    </row>
    <row r="42" spans="1:5" x14ac:dyDescent="0.25">
      <c r="A42" s="5" t="s">
        <v>360</v>
      </c>
      <c r="B42" s="10" t="s">
        <v>361</v>
      </c>
      <c r="D42" s="12">
        <v>45196</v>
      </c>
      <c r="E42" s="8" t="s">
        <v>362</v>
      </c>
    </row>
    <row r="43" spans="1:5" x14ac:dyDescent="0.25">
      <c r="A43" s="9" t="s">
        <v>29</v>
      </c>
      <c r="B43" s="10" t="s">
        <v>364</v>
      </c>
      <c r="D43" s="12">
        <v>45707</v>
      </c>
      <c r="E43" s="8" t="s">
        <v>363</v>
      </c>
    </row>
    <row r="44" spans="1:5" x14ac:dyDescent="0.25">
      <c r="A44" s="9" t="s">
        <v>20</v>
      </c>
      <c r="B44" s="10" t="s">
        <v>338</v>
      </c>
      <c r="D44" s="12">
        <v>46168</v>
      </c>
      <c r="E44" s="8" t="s">
        <v>365</v>
      </c>
    </row>
    <row r="45" spans="1:5" x14ac:dyDescent="0.25">
      <c r="A45" s="9" t="s">
        <v>21</v>
      </c>
      <c r="B45" s="10" t="s">
        <v>334</v>
      </c>
      <c r="D45" s="12">
        <v>44450</v>
      </c>
      <c r="E45" s="8" t="s">
        <v>366</v>
      </c>
    </row>
    <row r="46" spans="1:5" x14ac:dyDescent="0.25">
      <c r="A46" s="9" t="s">
        <v>22</v>
      </c>
      <c r="B46" s="10" t="s">
        <v>332</v>
      </c>
      <c r="D46" s="12">
        <v>44792</v>
      </c>
      <c r="E46" s="8" t="s">
        <v>367</v>
      </c>
    </row>
    <row r="47" spans="1:5" x14ac:dyDescent="0.25">
      <c r="A47" s="9" t="s">
        <v>13</v>
      </c>
      <c r="B47" s="10" t="s">
        <v>368</v>
      </c>
      <c r="D47" s="12">
        <v>45953</v>
      </c>
      <c r="E47" s="8" t="s">
        <v>369</v>
      </c>
    </row>
    <row r="48" spans="1:5" x14ac:dyDescent="0.25">
      <c r="A48" s="9" t="s">
        <v>24</v>
      </c>
      <c r="B48" s="10" t="s">
        <v>370</v>
      </c>
      <c r="D48" s="12">
        <v>44301</v>
      </c>
      <c r="E48" s="8" t="s">
        <v>371</v>
      </c>
    </row>
    <row r="49" spans="1:5" x14ac:dyDescent="0.25">
      <c r="A49" s="9" t="s">
        <v>400</v>
      </c>
      <c r="B49" s="10" t="s">
        <v>368</v>
      </c>
      <c r="D49" s="12">
        <v>44230</v>
      </c>
      <c r="E49" s="8" t="s">
        <v>401</v>
      </c>
    </row>
    <row r="50" spans="1:5" x14ac:dyDescent="0.25">
      <c r="A50" s="9" t="s">
        <v>372</v>
      </c>
      <c r="B50" s="10" t="s">
        <v>338</v>
      </c>
      <c r="D50" s="12">
        <v>46184</v>
      </c>
      <c r="E50" s="8" t="s">
        <v>373</v>
      </c>
    </row>
    <row r="51" spans="1:5" x14ac:dyDescent="0.25">
      <c r="A51" s="5" t="s">
        <v>75</v>
      </c>
      <c r="B51" s="10" t="s">
        <v>375</v>
      </c>
      <c r="D51" s="12">
        <v>44490</v>
      </c>
      <c r="E51" s="8" t="s">
        <v>374</v>
      </c>
    </row>
    <row r="52" spans="1:5" ht="30" x14ac:dyDescent="0.25">
      <c r="A52" s="9" t="s">
        <v>397</v>
      </c>
      <c r="B52" s="10" t="s">
        <v>28</v>
      </c>
      <c r="D52" s="12">
        <v>45689</v>
      </c>
      <c r="E52" s="8" t="s">
        <v>380</v>
      </c>
    </row>
    <row r="53" spans="1:5" x14ac:dyDescent="0.25">
      <c r="A53" s="13" t="s">
        <v>394</v>
      </c>
      <c r="B53" s="1" t="s">
        <v>384</v>
      </c>
      <c r="D53" s="12">
        <v>45566</v>
      </c>
      <c r="E53" s="8" t="s">
        <v>395</v>
      </c>
    </row>
    <row r="54" spans="1:5" ht="30" x14ac:dyDescent="0.25">
      <c r="A54" s="9" t="s">
        <v>396</v>
      </c>
      <c r="B54" s="10" t="s">
        <v>377</v>
      </c>
      <c r="D54" s="12">
        <v>45292</v>
      </c>
      <c r="E54" s="8" t="s">
        <v>376</v>
      </c>
    </row>
    <row r="55" spans="1:5" x14ac:dyDescent="0.25">
      <c r="A55" s="8" t="s">
        <v>402</v>
      </c>
      <c r="B55" s="8" t="s">
        <v>403</v>
      </c>
      <c r="C55" s="8"/>
      <c r="D55" s="19">
        <v>44682</v>
      </c>
      <c r="E55" s="8" t="s">
        <v>404</v>
      </c>
    </row>
    <row r="56" spans="1:5" ht="30" x14ac:dyDescent="0.25">
      <c r="A56" s="9" t="s">
        <v>54</v>
      </c>
      <c r="B56" s="10" t="s">
        <v>379</v>
      </c>
      <c r="C56" s="4" t="s">
        <v>77</v>
      </c>
      <c r="D56" s="12">
        <v>46213</v>
      </c>
      <c r="E56" s="8" t="s">
        <v>378</v>
      </c>
    </row>
    <row r="57" spans="1:5" ht="30" x14ac:dyDescent="0.25">
      <c r="A57" s="5" t="s">
        <v>76</v>
      </c>
      <c r="B57" s="10" t="s">
        <v>381</v>
      </c>
      <c r="D57" s="12">
        <v>28859</v>
      </c>
      <c r="E57" s="8" t="s">
        <v>382</v>
      </c>
    </row>
    <row r="58" spans="1:5" x14ac:dyDescent="0.2">
      <c r="A58" s="5" t="s">
        <v>408</v>
      </c>
      <c r="B58" s="20" t="s">
        <v>409</v>
      </c>
      <c r="C58" s="8"/>
      <c r="D58" s="19">
        <v>45677</v>
      </c>
      <c r="E58" s="8" t="s">
        <v>410</v>
      </c>
    </row>
    <row r="59" spans="1:5" x14ac:dyDescent="0.25">
      <c r="A59" s="5"/>
    </row>
    <row r="60" spans="1:5" x14ac:dyDescent="0.25">
      <c r="A60" s="5"/>
    </row>
    <row r="62" spans="1:5" x14ac:dyDescent="0.25">
      <c r="A62" s="5"/>
    </row>
    <row r="64" spans="1:5" x14ac:dyDescent="0.25">
      <c r="A64" s="5"/>
    </row>
    <row r="65" spans="1:1" x14ac:dyDescent="0.25">
      <c r="A65" s="5"/>
    </row>
    <row r="69" spans="1:1" x14ac:dyDescent="0.25">
      <c r="A69" s="5"/>
    </row>
    <row r="72" spans="1:1" x14ac:dyDescent="0.25">
      <c r="A72" s="5"/>
    </row>
  </sheetData>
  <conditionalFormatting sqref="A58">
    <cfRule type="cellIs" dxfId="0" priority="1" operator="equal">
      <formula>"NOT FOUND"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29C80FEB90034C8CEB86EC7314CE34" ma:contentTypeVersion="13" ma:contentTypeDescription="Create a new document." ma:contentTypeScope="" ma:versionID="0acec45017ec6aa9211c3c92c157733e">
  <xsd:schema xmlns:xsd="http://www.w3.org/2001/XMLSchema" xmlns:xs="http://www.w3.org/2001/XMLSchema" xmlns:p="http://schemas.microsoft.com/office/2006/metadata/properties" xmlns:ns2="dbcd7eaa-f250-4d2c-988e-5e1ad82fbabc" xmlns:ns3="7f3a11ee-e8e3-4a46-a483-ca54dd7b3da9" targetNamespace="http://schemas.microsoft.com/office/2006/metadata/properties" ma:root="true" ma:fieldsID="56864af3483e6bf010cb859f68527346" ns2:_="" ns3:_="">
    <xsd:import namespace="dbcd7eaa-f250-4d2c-988e-5e1ad82fbabc"/>
    <xsd:import namespace="7f3a11ee-e8e3-4a46-a483-ca54dd7b3d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d7eaa-f250-4d2c-988e-5e1ad82fb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3b0aeb5-a1c0-41d1-a276-1a086f5bcc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a11ee-e8e3-4a46-a483-ca54dd7b3da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24425e6-faa4-4209-9931-c96fa22e1255}" ma:internalName="TaxCatchAll" ma:showField="CatchAllData" ma:web="7f3a11ee-e8e3-4a46-a483-ca54dd7b3d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dbcd7eaa-f250-4d2c-988e-5e1ad82fbabc" xsi:nil="true"/>
    <TaxCatchAll xmlns="7f3a11ee-e8e3-4a46-a483-ca54dd7b3da9" xsi:nil="true"/>
    <lcf76f155ced4ddcb4097134ff3c332f xmlns="dbcd7eaa-f250-4d2c-988e-5e1ad82fba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9E2F26-0E15-40F4-B6AE-9A01E916C2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cd7eaa-f250-4d2c-988e-5e1ad82fbabc"/>
    <ds:schemaRef ds:uri="7f3a11ee-e8e3-4a46-a483-ca54dd7b3d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D4F6D9-D203-451A-AA8E-2BC7757F57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30BC1E-7819-44D1-81B1-0A57F02D51CC}">
  <ds:schemaRefs>
    <ds:schemaRef ds:uri="http://schemas.openxmlformats.org/package/2006/metadata/core-properties"/>
    <ds:schemaRef ds:uri="7f3a11ee-e8e3-4a46-a483-ca54dd7b3da9"/>
    <ds:schemaRef ds:uri="http://purl.org/dc/terms/"/>
    <ds:schemaRef ds:uri="http://schemas.microsoft.com/office/2006/metadata/properties"/>
    <ds:schemaRef ds:uri="http://schemas.microsoft.com/office/2006/documentManagement/types"/>
    <ds:schemaRef ds:uri="dbcd7eaa-f250-4d2c-988e-5e1ad82fbabc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Review Master List</vt:lpstr>
      <vt:lpstr>Reference Master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Light, Ronald - US</dc:creator>
  <cp:keywords/>
  <dc:description/>
  <cp:lastModifiedBy>Light, Ronald - US</cp:lastModifiedBy>
  <cp:revision/>
  <dcterms:created xsi:type="dcterms:W3CDTF">2026-08-05T17:06:09Z</dcterms:created>
  <dcterms:modified xsi:type="dcterms:W3CDTF">2026-10-07T12:50:11Z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0x0101008029C80FEB90034C8CEB86EC7314CE34</vt:lpwstr>
  </property>
  <property fmtid="{D5CDD505-2E9C-101B-9397-08002B2CF9AE}" pid="3" name="MediaServiceImageTags">
    <vt:lpwstr/>
  </property>
</Properties>
</file>